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สคต\5. งบเดือน\งบเดือน ปี 69\69-2 กุมภาพันธ์\"/>
    </mc:Choice>
  </mc:AlternateContent>
  <xr:revisionPtr revIDLastSave="0" documentId="13_ncr:1_{9464F85B-1C63-478E-9204-4A866772FB4D}" xr6:coauthVersionLast="47" xr6:coauthVersionMax="47" xr10:uidLastSave="{00000000-0000-0000-0000-000000000000}"/>
  <bookViews>
    <workbookView xWindow="-120" yWindow="-120" windowWidth="29040" windowHeight="15720" tabRatio="779" activeTab="4" xr2:uid="{00000000-000D-0000-FFFF-FFFF00000000}"/>
  </bookViews>
  <sheets>
    <sheet name="การจัดส่งเอกสาร" sheetId="7" r:id="rId1"/>
    <sheet name="1. ทะเบียนคุมรับ-จ่าย" sheetId="2" r:id="rId2"/>
    <sheet name="2. หน้างบรายจ่าย" sheetId="1" r:id="rId3"/>
    <sheet name="3.งบเทียบยอด (USD)" sheetId="4" r:id="rId4"/>
    <sheet name="3.งบเทียบยอด (php)" sheetId="15" r:id="rId5"/>
    <sheet name="4.แบบฟอร์มรายงานเงินคงเหลือUSD" sheetId="14" r:id="rId6"/>
    <sheet name="4.แบบฟอร์มรายงานเงินคงเหลือ Php" sheetId="16" r:id="rId7"/>
    <sheet name="5. ทะเบียนคุมโครงการ" sheetId="5" r:id="rId8"/>
    <sheet name="6.ทะเบียนคุมโครงการ (เก็บเงิน)" sheetId="9" r:id="rId9"/>
    <sheet name="7.ทะเบียนคุมครุภัณฑ์" sheetId="12" r:id="rId10"/>
    <sheet name="Print คืนเงินงบประจำ" sheetId="11" r:id="rId11"/>
  </sheets>
  <definedNames>
    <definedName name="_xlnm._FilterDatabase" localSheetId="1" hidden="1">'1. ทะเบียนคุมรับ-จ่าย'!$AP$1:$AP$134</definedName>
    <definedName name="_xlnm._FilterDatabase" localSheetId="2" hidden="1">'2. หน้างบรายจ่าย'!$N$1:$N$559</definedName>
    <definedName name="_xlnm._FilterDatabase" localSheetId="7" hidden="1">'5. ทะเบียนคุมโครงการ'!$H$1:$H$103</definedName>
    <definedName name="_xlnm._FilterDatabase" localSheetId="9" hidden="1">'7.ทะเบียนคุมครุภัณฑ์'!$L$1:$L$102</definedName>
    <definedName name="_xlnm.Print_Area" localSheetId="1">'1. ทะเบียนคุมรับ-จ่าย'!$B$1:$AM$131</definedName>
    <definedName name="_xlnm.Print_Area" localSheetId="2">'2. หน้างบรายจ่าย'!$D$1:$K$178</definedName>
    <definedName name="_xlnm.Print_Area" localSheetId="6">'4.แบบฟอร์มรายงานเงินคงเหลือ Php'!$A$1:$I$34</definedName>
    <definedName name="_xlnm.Print_Area" localSheetId="5">'4.แบบฟอร์มรายงานเงินคงเหลือUSD'!$A$1:$I$38</definedName>
    <definedName name="_xlnm.Print_Area" localSheetId="7">'5. ทะเบียนคุมโครงการ'!$A$2:$K$103</definedName>
    <definedName name="_xlnm.Print_Area" localSheetId="9">'7.ทะเบียนคุมครุภัณฑ์'!$A$2:$O$103</definedName>
    <definedName name="_xlnm.Print_Titles" localSheetId="1">'1. ทะเบียนคุมรับ-จ่าย'!$5:$8</definedName>
    <definedName name="_xlnm.Print_Titles" localSheetId="2">'2. หน้างบรายจ่าย'!$5:$6</definedName>
  </definedNames>
  <calcPr calcId="191029"/>
</workbook>
</file>

<file path=xl/calcChain.xml><?xml version="1.0" encoding="utf-8"?>
<calcChain xmlns="http://schemas.openxmlformats.org/spreadsheetml/2006/main">
  <c r="I23" i="16" l="1"/>
  <c r="G23" i="16"/>
  <c r="F23" i="16"/>
  <c r="E21" i="16"/>
  <c r="E23" i="16"/>
  <c r="G21" i="16"/>
  <c r="G25" i="14"/>
  <c r="G9" i="14"/>
  <c r="I18" i="16"/>
  <c r="E18" i="16" s="1"/>
  <c r="G10" i="16"/>
  <c r="I23" i="14"/>
  <c r="I21" i="14"/>
  <c r="I11" i="14"/>
  <c r="F8" i="14" l="1"/>
  <c r="F9" i="16"/>
  <c r="H27" i="14" l="1"/>
  <c r="F27" i="14"/>
  <c r="E23" i="14"/>
  <c r="E21" i="14"/>
  <c r="E10" i="16"/>
  <c r="G19" i="14"/>
  <c r="E19" i="14" s="1"/>
  <c r="I27" i="14" l="1"/>
  <c r="E11" i="14"/>
  <c r="E9" i="14"/>
  <c r="E9" i="16"/>
  <c r="F131" i="2"/>
  <c r="E131" i="2"/>
  <c r="H23" i="16"/>
  <c r="E8" i="14"/>
  <c r="F9" i="2" l="1"/>
  <c r="E9" i="2"/>
  <c r="I46" i="1" l="1"/>
  <c r="I88" i="1"/>
  <c r="J46" i="1"/>
  <c r="F117" i="2" l="1"/>
  <c r="E117" i="2"/>
  <c r="D117" i="2"/>
  <c r="F116" i="2"/>
  <c r="E116" i="2"/>
  <c r="D116" i="2"/>
  <c r="F115" i="2"/>
  <c r="E115" i="2"/>
  <c r="D115" i="2"/>
  <c r="F114" i="2"/>
  <c r="E114" i="2"/>
  <c r="D114" i="2"/>
  <c r="F113" i="2"/>
  <c r="E113" i="2"/>
  <c r="D113" i="2"/>
  <c r="F112" i="2"/>
  <c r="E112" i="2"/>
  <c r="D112" i="2"/>
  <c r="F111" i="2"/>
  <c r="E111" i="2"/>
  <c r="D111" i="2"/>
  <c r="F110" i="2"/>
  <c r="E110" i="2"/>
  <c r="D110" i="2"/>
  <c r="F109" i="2"/>
  <c r="E109" i="2"/>
  <c r="D109" i="2"/>
  <c r="F107" i="2"/>
  <c r="E107" i="2"/>
  <c r="D107" i="2"/>
  <c r="F106" i="2"/>
  <c r="E106" i="2"/>
  <c r="D106" i="2"/>
  <c r="F105" i="2"/>
  <c r="E105" i="2"/>
  <c r="D105" i="2"/>
  <c r="F104" i="2"/>
  <c r="E104" i="2"/>
  <c r="D104" i="2"/>
  <c r="F103" i="2"/>
  <c r="E103" i="2"/>
  <c r="D103" i="2"/>
  <c r="F102" i="2"/>
  <c r="E102" i="2"/>
  <c r="D102" i="2"/>
  <c r="F28" i="2"/>
  <c r="E28" i="2"/>
  <c r="D28" i="2"/>
  <c r="F27" i="2"/>
  <c r="E27" i="2"/>
  <c r="D27" i="2"/>
  <c r="F26" i="2"/>
  <c r="E26" i="2"/>
  <c r="D26" i="2"/>
  <c r="F25" i="2"/>
  <c r="E25" i="2"/>
  <c r="D25" i="2"/>
  <c r="F24" i="2"/>
  <c r="E24" i="2"/>
  <c r="D24" i="2"/>
  <c r="F23" i="2"/>
  <c r="E23" i="2"/>
  <c r="D23" i="2"/>
  <c r="F22" i="2"/>
  <c r="E22" i="2"/>
  <c r="D22" i="2"/>
  <c r="F21" i="2"/>
  <c r="E21" i="2"/>
  <c r="D21" i="2"/>
  <c r="F20" i="2"/>
  <c r="E20" i="2"/>
  <c r="D20" i="2"/>
  <c r="F18" i="2"/>
  <c r="E18" i="2"/>
  <c r="D18" i="2"/>
  <c r="F17" i="2"/>
  <c r="E17" i="2"/>
  <c r="D17" i="2"/>
  <c r="F16" i="2"/>
  <c r="E16" i="2"/>
  <c r="D16" i="2"/>
  <c r="F15" i="2"/>
  <c r="E15" i="2"/>
  <c r="D15" i="2"/>
  <c r="F14" i="2"/>
  <c r="E14" i="2"/>
  <c r="D14" i="2"/>
  <c r="F13" i="2"/>
  <c r="E13" i="2"/>
  <c r="D13" i="2"/>
  <c r="F12" i="2"/>
  <c r="E12" i="2"/>
  <c r="D12" i="2"/>
  <c r="E11" i="2"/>
  <c r="D11" i="2"/>
  <c r="F19" i="2" l="1"/>
  <c r="F11" i="2"/>
  <c r="K46" i="1" l="1"/>
  <c r="B47" i="1"/>
  <c r="B48" i="1" s="1"/>
  <c r="U108" i="2"/>
  <c r="T108" i="2"/>
  <c r="S108" i="2"/>
  <c r="U101" i="2"/>
  <c r="T101" i="2"/>
  <c r="S101" i="2"/>
  <c r="U19" i="2"/>
  <c r="T19" i="2"/>
  <c r="S19" i="2"/>
  <c r="U10" i="2"/>
  <c r="T10" i="2"/>
  <c r="S10" i="2"/>
  <c r="S4" i="2"/>
  <c r="U4" i="2" s="1"/>
  <c r="T4" i="2" l="1"/>
  <c r="N2" i="1" l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47" i="1"/>
  <c r="N74" i="1"/>
  <c r="N75" i="1"/>
  <c r="N76" i="1"/>
  <c r="N48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J9" i="1" l="1"/>
  <c r="B9" i="11" l="1"/>
  <c r="B6" i="11"/>
  <c r="B4" i="11"/>
  <c r="L102" i="12"/>
  <c r="L101" i="12"/>
  <c r="L100" i="12"/>
  <c r="L99" i="12"/>
  <c r="L98" i="12"/>
  <c r="L97" i="12"/>
  <c r="L96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L83" i="12"/>
  <c r="L82" i="12"/>
  <c r="L81" i="12"/>
  <c r="L80" i="12"/>
  <c r="L79" i="12"/>
  <c r="L78" i="12"/>
  <c r="L77" i="12"/>
  <c r="L76" i="12"/>
  <c r="L75" i="12"/>
  <c r="I75" i="12"/>
  <c r="H75" i="12"/>
  <c r="L74" i="12"/>
  <c r="L73" i="12"/>
  <c r="L72" i="12"/>
  <c r="L71" i="12"/>
  <c r="L70" i="12"/>
  <c r="L69" i="12"/>
  <c r="L68" i="12"/>
  <c r="L67" i="12"/>
  <c r="L66" i="12"/>
  <c r="L65" i="12"/>
  <c r="L64" i="12"/>
  <c r="I64" i="12"/>
  <c r="H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I42" i="12"/>
  <c r="H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I26" i="12"/>
  <c r="H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O11" i="12"/>
  <c r="L11" i="12"/>
  <c r="O10" i="12"/>
  <c r="L10" i="12"/>
  <c r="I10" i="12"/>
  <c r="I63" i="12" s="1"/>
  <c r="I88" i="12" s="1"/>
  <c r="H10" i="12"/>
  <c r="H63" i="12" s="1"/>
  <c r="H88" i="12" s="1"/>
  <c r="L9" i="12"/>
  <c r="O8" i="12"/>
  <c r="L8" i="12"/>
  <c r="L7" i="12"/>
  <c r="O6" i="12"/>
  <c r="L6" i="12"/>
  <c r="L5" i="12"/>
  <c r="L4" i="12"/>
  <c r="L3" i="12"/>
  <c r="L2" i="12"/>
  <c r="G41" i="9"/>
  <c r="F41" i="9"/>
  <c r="G38" i="9"/>
  <c r="F38" i="9"/>
  <c r="G34" i="9"/>
  <c r="F34" i="9"/>
  <c r="G31" i="9"/>
  <c r="F31" i="9"/>
  <c r="G28" i="9"/>
  <c r="F28" i="9"/>
  <c r="G24" i="9"/>
  <c r="F24" i="9"/>
  <c r="G21" i="9"/>
  <c r="F21" i="9"/>
  <c r="G16" i="9"/>
  <c r="F16" i="9"/>
  <c r="G13" i="9"/>
  <c r="F13" i="9"/>
  <c r="F20" i="9" s="1"/>
  <c r="G9" i="9"/>
  <c r="G20" i="9" s="1"/>
  <c r="F9" i="9"/>
  <c r="H103" i="5"/>
  <c r="H102" i="5"/>
  <c r="H101" i="5"/>
  <c r="H100" i="5"/>
  <c r="H99" i="5"/>
  <c r="H98" i="5"/>
  <c r="H97" i="5"/>
  <c r="H96" i="5"/>
  <c r="H95" i="5"/>
  <c r="H94" i="5"/>
  <c r="H93" i="5"/>
  <c r="H92" i="5"/>
  <c r="H91" i="5"/>
  <c r="H90" i="5"/>
  <c r="H89" i="5"/>
  <c r="H88" i="5"/>
  <c r="H87" i="5"/>
  <c r="H86" i="5"/>
  <c r="H85" i="5"/>
  <c r="H84" i="5"/>
  <c r="H83" i="5"/>
  <c r="H82" i="5"/>
  <c r="H81" i="5"/>
  <c r="H80" i="5"/>
  <c r="H79" i="5"/>
  <c r="H78" i="5"/>
  <c r="H77" i="5"/>
  <c r="H76" i="5"/>
  <c r="E76" i="5"/>
  <c r="D76" i="5"/>
  <c r="K10" i="5" s="1"/>
  <c r="H75" i="5"/>
  <c r="H74" i="5"/>
  <c r="H73" i="5"/>
  <c r="H72" i="5"/>
  <c r="H71" i="5"/>
  <c r="H70" i="5"/>
  <c r="H69" i="5"/>
  <c r="H68" i="5"/>
  <c r="H67" i="5"/>
  <c r="H66" i="5"/>
  <c r="H65" i="5"/>
  <c r="E65" i="5"/>
  <c r="D65" i="5"/>
  <c r="H64" i="5"/>
  <c r="H63" i="5"/>
  <c r="H62" i="5"/>
  <c r="H61" i="5"/>
  <c r="H60" i="5"/>
  <c r="H59" i="5"/>
  <c r="H58" i="5"/>
  <c r="H57" i="5"/>
  <c r="H56" i="5"/>
  <c r="H55" i="5"/>
  <c r="H54" i="5"/>
  <c r="H53" i="5"/>
  <c r="H52" i="5"/>
  <c r="H51" i="5"/>
  <c r="H50" i="5"/>
  <c r="H49" i="5"/>
  <c r="H48" i="5"/>
  <c r="H47" i="5"/>
  <c r="H46" i="5"/>
  <c r="H45" i="5"/>
  <c r="H44" i="5"/>
  <c r="H43" i="5"/>
  <c r="E43" i="5"/>
  <c r="D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E27" i="5"/>
  <c r="D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K11" i="5"/>
  <c r="H11" i="5"/>
  <c r="E11" i="5"/>
  <c r="D11" i="5"/>
  <c r="H10" i="5"/>
  <c r="H9" i="5"/>
  <c r="D9" i="5"/>
  <c r="K8" i="5"/>
  <c r="H8" i="5"/>
  <c r="H7" i="5"/>
  <c r="K6" i="5"/>
  <c r="H6" i="5"/>
  <c r="H5" i="5"/>
  <c r="H4" i="5"/>
  <c r="H3" i="5"/>
  <c r="H2" i="5"/>
  <c r="N559" i="1"/>
  <c r="N558" i="1"/>
  <c r="N557" i="1"/>
  <c r="N556" i="1"/>
  <c r="N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B154" i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K153" i="1"/>
  <c r="J153" i="1"/>
  <c r="I153" i="1"/>
  <c r="K146" i="1"/>
  <c r="J146" i="1"/>
  <c r="I146" i="1"/>
  <c r="B146" i="1"/>
  <c r="B147" i="1" s="1"/>
  <c r="B148" i="1" s="1"/>
  <c r="B149" i="1" s="1"/>
  <c r="B150" i="1" s="1"/>
  <c r="B151" i="1" s="1"/>
  <c r="B152" i="1" s="1"/>
  <c r="B134" i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K133" i="1"/>
  <c r="J133" i="1"/>
  <c r="I133" i="1"/>
  <c r="B106" i="1"/>
  <c r="B107" i="1" s="1"/>
  <c r="B108" i="1" s="1"/>
  <c r="B109" i="1" s="1"/>
  <c r="K105" i="1"/>
  <c r="J105" i="1"/>
  <c r="I105" i="1"/>
  <c r="B89" i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K88" i="1"/>
  <c r="J88" i="1"/>
  <c r="B50" i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K49" i="1"/>
  <c r="J49" i="1"/>
  <c r="I49" i="1"/>
  <c r="B43" i="1"/>
  <c r="B44" i="1" s="1"/>
  <c r="B45" i="1" s="1"/>
  <c r="K42" i="1"/>
  <c r="J42" i="1"/>
  <c r="I42" i="1"/>
  <c r="B26" i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K25" i="1"/>
  <c r="J25" i="1"/>
  <c r="I25" i="1"/>
  <c r="B18" i="1"/>
  <c r="B19" i="1" s="1"/>
  <c r="B20" i="1" s="1"/>
  <c r="B21" i="1" s="1"/>
  <c r="B22" i="1" s="1"/>
  <c r="B23" i="1" s="1"/>
  <c r="B24" i="1" s="1"/>
  <c r="K17" i="1"/>
  <c r="J17" i="1"/>
  <c r="I17" i="1"/>
  <c r="B16" i="1"/>
  <c r="A10" i="1"/>
  <c r="C10" i="1" s="1"/>
  <c r="K9" i="1"/>
  <c r="I9" i="1"/>
  <c r="AP134" i="2"/>
  <c r="AP133" i="2"/>
  <c r="AP132" i="2"/>
  <c r="AP131" i="2"/>
  <c r="AP130" i="2"/>
  <c r="AP129" i="2"/>
  <c r="AP128" i="2"/>
  <c r="AP127" i="2"/>
  <c r="AP126" i="2"/>
  <c r="AP125" i="2"/>
  <c r="AP124" i="2"/>
  <c r="AP123" i="2"/>
  <c r="AP122" i="2"/>
  <c r="AP121" i="2"/>
  <c r="AP120" i="2"/>
  <c r="AP119" i="2"/>
  <c r="AP118" i="2"/>
  <c r="AP117" i="2"/>
  <c r="AP116" i="2"/>
  <c r="AP110" i="2"/>
  <c r="AP109" i="2"/>
  <c r="AP108" i="2"/>
  <c r="AM108" i="2"/>
  <c r="AL108" i="2"/>
  <c r="AK108" i="2"/>
  <c r="AJ108" i="2"/>
  <c r="AI108" i="2"/>
  <c r="AH108" i="2"/>
  <c r="AG108" i="2"/>
  <c r="AF108" i="2"/>
  <c r="AE108" i="2"/>
  <c r="AD108" i="2"/>
  <c r="AC108" i="2"/>
  <c r="AB108" i="2"/>
  <c r="AA108" i="2"/>
  <c r="Z108" i="2"/>
  <c r="Y108" i="2"/>
  <c r="X108" i="2"/>
  <c r="W108" i="2"/>
  <c r="V108" i="2"/>
  <c r="R108" i="2"/>
  <c r="Q108" i="2"/>
  <c r="P108" i="2"/>
  <c r="O108" i="2"/>
  <c r="N108" i="2"/>
  <c r="M108" i="2"/>
  <c r="L108" i="2"/>
  <c r="K108" i="2"/>
  <c r="J108" i="2"/>
  <c r="I108" i="2"/>
  <c r="H108" i="2"/>
  <c r="G108" i="2"/>
  <c r="AP107" i="2"/>
  <c r="AP106" i="2"/>
  <c r="AP103" i="2"/>
  <c r="AP102" i="2"/>
  <c r="AP101" i="2"/>
  <c r="AM101" i="2"/>
  <c r="AL101" i="2"/>
  <c r="AK101" i="2"/>
  <c r="AJ101" i="2"/>
  <c r="AI101" i="2"/>
  <c r="AH101" i="2"/>
  <c r="AG101" i="2"/>
  <c r="AF101" i="2"/>
  <c r="AE101" i="2"/>
  <c r="AD101" i="2"/>
  <c r="AC101" i="2"/>
  <c r="AB101" i="2"/>
  <c r="AA101" i="2"/>
  <c r="Z101" i="2"/>
  <c r="Y101" i="2"/>
  <c r="X101" i="2"/>
  <c r="W101" i="2"/>
  <c r="V101" i="2"/>
  <c r="R101" i="2"/>
  <c r="Q101" i="2"/>
  <c r="P101" i="2"/>
  <c r="O101" i="2"/>
  <c r="N101" i="2"/>
  <c r="M101" i="2"/>
  <c r="L101" i="2"/>
  <c r="K101" i="2"/>
  <c r="J101" i="2"/>
  <c r="I101" i="2"/>
  <c r="H101" i="2"/>
  <c r="G101" i="2"/>
  <c r="AP100" i="2"/>
  <c r="AP33" i="2"/>
  <c r="AP32" i="2"/>
  <c r="AP31" i="2"/>
  <c r="AP30" i="2"/>
  <c r="AP29" i="2"/>
  <c r="AP28" i="2"/>
  <c r="AP27" i="2"/>
  <c r="AP26" i="2"/>
  <c r="AP21" i="2"/>
  <c r="AP20" i="2"/>
  <c r="AP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R19" i="2"/>
  <c r="Q19" i="2"/>
  <c r="P19" i="2"/>
  <c r="O19" i="2"/>
  <c r="N19" i="2"/>
  <c r="M19" i="2"/>
  <c r="L19" i="2"/>
  <c r="K19" i="2"/>
  <c r="J19" i="2"/>
  <c r="I19" i="2"/>
  <c r="H19" i="2"/>
  <c r="G19" i="2"/>
  <c r="AP18" i="2"/>
  <c r="AP17" i="2"/>
  <c r="AP13" i="2"/>
  <c r="AP12" i="2"/>
  <c r="AP11" i="2"/>
  <c r="AP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R10" i="2"/>
  <c r="Q10" i="2"/>
  <c r="P10" i="2"/>
  <c r="O10" i="2"/>
  <c r="N10" i="2"/>
  <c r="M10" i="2"/>
  <c r="L10" i="2"/>
  <c r="K10" i="2"/>
  <c r="J10" i="2"/>
  <c r="I10" i="2"/>
  <c r="H10" i="2"/>
  <c r="G10" i="2"/>
  <c r="AP9" i="2"/>
  <c r="D9" i="2"/>
  <c r="AP8" i="2"/>
  <c r="I8" i="2"/>
  <c r="L8" i="2" s="1"/>
  <c r="O8" i="2" s="1"/>
  <c r="H8" i="2"/>
  <c r="B7" i="11" s="1"/>
  <c r="G8" i="2"/>
  <c r="J8" i="2" s="1"/>
  <c r="M8" i="2" s="1"/>
  <c r="AP7" i="2"/>
  <c r="F7" i="2"/>
  <c r="E7" i="2"/>
  <c r="D7" i="2"/>
  <c r="AP6" i="2"/>
  <c r="AP5" i="2"/>
  <c r="AP4" i="2"/>
  <c r="AK4" i="2"/>
  <c r="AM4" i="2" s="1"/>
  <c r="AH4" i="2"/>
  <c r="AI4" i="2" s="1"/>
  <c r="AE4" i="2"/>
  <c r="AG4" i="2" s="1"/>
  <c r="AB4" i="2"/>
  <c r="AD4" i="2" s="1"/>
  <c r="Y4" i="2"/>
  <c r="Z4" i="2" s="1"/>
  <c r="V4" i="2"/>
  <c r="X4" i="2" s="1"/>
  <c r="P4" i="2"/>
  <c r="R4" i="2" s="1"/>
  <c r="M4" i="2"/>
  <c r="N4" i="2" s="1"/>
  <c r="J4" i="2"/>
  <c r="L4" i="2" s="1"/>
  <c r="G4" i="2"/>
  <c r="H4" i="2" s="1"/>
  <c r="AP3" i="2"/>
  <c r="AP2" i="2"/>
  <c r="AA4" i="2" l="1"/>
  <c r="F27" i="9"/>
  <c r="F37" i="9" s="1"/>
  <c r="F44" i="9" s="1"/>
  <c r="I130" i="1"/>
  <c r="J130" i="1"/>
  <c r="B110" i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K130" i="1"/>
  <c r="P8" i="2"/>
  <c r="V8" i="2" s="1"/>
  <c r="Y8" i="2" s="1"/>
  <c r="AB8" i="2" s="1"/>
  <c r="AE8" i="2" s="1"/>
  <c r="AH8" i="2" s="1"/>
  <c r="AK8" i="2" s="1"/>
  <c r="S8" i="2"/>
  <c r="R8" i="2"/>
  <c r="X8" i="2" s="1"/>
  <c r="AA8" i="2" s="1"/>
  <c r="AD8" i="2" s="1"/>
  <c r="AG8" i="2" s="1"/>
  <c r="AJ8" i="2" s="1"/>
  <c r="AM8" i="2" s="1"/>
  <c r="U8" i="2"/>
  <c r="B68" i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G27" i="9"/>
  <c r="G37" i="9" s="1"/>
  <c r="G44" i="9" s="1"/>
  <c r="I39" i="1"/>
  <c r="F101" i="2"/>
  <c r="D64" i="5"/>
  <c r="D89" i="5" s="1"/>
  <c r="E64" i="5"/>
  <c r="E89" i="5" s="1"/>
  <c r="AC4" i="2"/>
  <c r="F108" i="2"/>
  <c r="O4" i="2"/>
  <c r="AL4" i="2"/>
  <c r="D101" i="2"/>
  <c r="K8" i="2"/>
  <c r="N8" i="2" s="1"/>
  <c r="K4" i="2"/>
  <c r="D10" i="2"/>
  <c r="E101" i="2"/>
  <c r="F10" i="2"/>
  <c r="D10" i="5"/>
  <c r="K9" i="5" s="1"/>
  <c r="H9" i="12"/>
  <c r="O9" i="12" s="1"/>
  <c r="D108" i="2"/>
  <c r="E108" i="2"/>
  <c r="D19" i="2"/>
  <c r="E19" i="2"/>
  <c r="E10" i="2"/>
  <c r="K39" i="1"/>
  <c r="J39" i="1"/>
  <c r="A11" i="1"/>
  <c r="W4" i="2"/>
  <c r="I4" i="2"/>
  <c r="Q4" i="2"/>
  <c r="AF4" i="2"/>
  <c r="AJ4" i="2"/>
  <c r="I131" i="1" l="1"/>
  <c r="C11" i="1"/>
  <c r="Q8" i="2"/>
  <c r="W8" i="2" s="1"/>
  <c r="Z8" i="2" s="1"/>
  <c r="AC8" i="2" s="1"/>
  <c r="AF8" i="2" s="1"/>
  <c r="AI8" i="2" s="1"/>
  <c r="AL8" i="2" s="1"/>
  <c r="T8" i="2"/>
  <c r="K131" i="1"/>
  <c r="J131" i="1"/>
  <c r="J170" i="1" s="1"/>
  <c r="A12" i="1"/>
  <c r="A13" i="1" s="1"/>
  <c r="I170" i="1" l="1"/>
  <c r="K170" i="1"/>
  <c r="C12" i="1"/>
  <c r="C13" i="1"/>
  <c r="A14" i="1"/>
  <c r="A15" i="1" l="1"/>
  <c r="C14" i="1"/>
  <c r="A16" i="1" l="1"/>
  <c r="C15" i="1"/>
  <c r="A17" i="1" l="1"/>
  <c r="C16" i="1"/>
  <c r="A18" i="1" l="1"/>
  <c r="C17" i="1"/>
  <c r="C18" i="1" l="1"/>
  <c r="A19" i="1"/>
  <c r="C19" i="1" l="1"/>
  <c r="A20" i="1"/>
  <c r="C20" i="1" l="1"/>
  <c r="A21" i="1"/>
  <c r="C21" i="1" l="1"/>
  <c r="A22" i="1"/>
  <c r="C22" i="1" l="1"/>
  <c r="A23" i="1"/>
  <c r="C23" i="1" l="1"/>
  <c r="A24" i="1"/>
  <c r="C24" i="1" l="1"/>
  <c r="A25" i="1"/>
  <c r="A26" i="1" l="1"/>
  <c r="C25" i="1"/>
  <c r="A27" i="1" l="1"/>
  <c r="C26" i="1"/>
  <c r="A28" i="1" l="1"/>
  <c r="C27" i="1"/>
  <c r="A29" i="1" l="1"/>
  <c r="C28" i="1"/>
  <c r="A30" i="1" l="1"/>
  <c r="C29" i="1"/>
  <c r="A31" i="1" l="1"/>
  <c r="C30" i="1"/>
  <c r="A32" i="1" l="1"/>
  <c r="C31" i="1"/>
  <c r="A33" i="1" l="1"/>
  <c r="C32" i="1"/>
  <c r="A34" i="1" l="1"/>
  <c r="C33" i="1"/>
  <c r="A35" i="1" l="1"/>
  <c r="C34" i="1"/>
  <c r="C35" i="1" l="1"/>
  <c r="A36" i="1"/>
  <c r="A37" i="1" l="1"/>
  <c r="C36" i="1"/>
  <c r="C37" i="1" l="1"/>
  <c r="A38" i="1"/>
  <c r="C38" i="1" l="1"/>
  <c r="A39" i="1"/>
  <c r="C39" i="1" l="1"/>
  <c r="A40" i="1"/>
  <c r="C40" i="1" l="1"/>
  <c r="A41" i="1"/>
  <c r="C41" i="1" l="1"/>
  <c r="A42" i="1"/>
  <c r="C42" i="1" l="1"/>
  <c r="A43" i="1"/>
  <c r="A44" i="1" l="1"/>
  <c r="C43" i="1"/>
  <c r="A45" i="1" l="1"/>
  <c r="A46" i="1" s="1"/>
  <c r="C44" i="1"/>
  <c r="A47" i="1" l="1"/>
  <c r="C46" i="1"/>
  <c r="C45" i="1"/>
  <c r="A48" i="1" l="1"/>
  <c r="C47" i="1"/>
  <c r="C48" i="1" l="1"/>
  <c r="A49" i="1"/>
  <c r="A50" i="1" l="1"/>
  <c r="C49" i="1"/>
  <c r="C50" i="1" l="1"/>
  <c r="A51" i="1"/>
  <c r="C51" i="1" l="1"/>
  <c r="A52" i="1"/>
  <c r="C52" i="1" l="1"/>
  <c r="A53" i="1"/>
  <c r="C53" i="1" l="1"/>
  <c r="A54" i="1"/>
  <c r="C54" i="1" l="1"/>
  <c r="A55" i="1"/>
  <c r="A56" i="1" l="1"/>
  <c r="C55" i="1"/>
  <c r="A57" i="1" l="1"/>
  <c r="C56" i="1"/>
  <c r="A58" i="1" l="1"/>
  <c r="C57" i="1"/>
  <c r="A59" i="1" l="1"/>
  <c r="C58" i="1"/>
  <c r="A60" i="1" l="1"/>
  <c r="C59" i="1"/>
  <c r="A61" i="1" l="1"/>
  <c r="C60" i="1"/>
  <c r="A62" i="1" l="1"/>
  <c r="C61" i="1"/>
  <c r="A63" i="1" l="1"/>
  <c r="C62" i="1"/>
  <c r="A64" i="1" l="1"/>
  <c r="C63" i="1"/>
  <c r="A65" i="1" l="1"/>
  <c r="C64" i="1"/>
  <c r="A66" i="1" l="1"/>
  <c r="C65" i="1"/>
  <c r="C66" i="1" l="1"/>
  <c r="A67" i="1"/>
  <c r="A68" i="1" l="1"/>
  <c r="C67" i="1"/>
  <c r="C68" i="1" l="1"/>
  <c r="A69" i="1"/>
  <c r="A70" i="1" l="1"/>
  <c r="C69" i="1"/>
  <c r="A71" i="1" l="1"/>
  <c r="C70" i="1"/>
  <c r="A72" i="1" l="1"/>
  <c r="C71" i="1"/>
  <c r="A73" i="1" l="1"/>
  <c r="C72" i="1"/>
  <c r="A74" i="1" l="1"/>
  <c r="C73" i="1"/>
  <c r="C74" i="1" l="1"/>
  <c r="A75" i="1"/>
  <c r="C75" i="1" l="1"/>
  <c r="A76" i="1"/>
  <c r="C76" i="1" l="1"/>
  <c r="A77" i="1"/>
  <c r="C77" i="1" l="1"/>
  <c r="A78" i="1"/>
  <c r="C78" i="1" l="1"/>
  <c r="A79" i="1"/>
  <c r="C79" i="1" l="1"/>
  <c r="A80" i="1"/>
  <c r="A81" i="1" l="1"/>
  <c r="C80" i="1"/>
  <c r="A82" i="1" l="1"/>
  <c r="C81" i="1"/>
  <c r="A83" i="1" l="1"/>
  <c r="C82" i="1"/>
  <c r="A84" i="1" l="1"/>
  <c r="C83" i="1"/>
  <c r="A85" i="1" l="1"/>
  <c r="C84" i="1"/>
  <c r="A86" i="1" l="1"/>
  <c r="C85" i="1"/>
  <c r="A87" i="1" l="1"/>
  <c r="C86" i="1"/>
  <c r="C87" i="1" l="1"/>
  <c r="A88" i="1"/>
  <c r="A89" i="1" l="1"/>
  <c r="C88" i="1"/>
  <c r="C89" i="1" l="1"/>
  <c r="A90" i="1"/>
  <c r="C90" i="1" l="1"/>
  <c r="A91" i="1"/>
  <c r="C91" i="1" l="1"/>
  <c r="A92" i="1"/>
  <c r="A93" i="1" l="1"/>
  <c r="C92" i="1"/>
  <c r="A94" i="1" l="1"/>
  <c r="C93" i="1"/>
  <c r="C94" i="1" l="1"/>
  <c r="A95" i="1"/>
  <c r="C95" i="1" l="1"/>
  <c r="A96" i="1"/>
  <c r="C96" i="1" l="1"/>
  <c r="A97" i="1"/>
  <c r="A98" i="1" l="1"/>
  <c r="C97" i="1"/>
  <c r="A99" i="1" l="1"/>
  <c r="C98" i="1"/>
  <c r="C99" i="1" l="1"/>
  <c r="A100" i="1"/>
  <c r="A101" i="1" l="1"/>
  <c r="C100" i="1"/>
  <c r="C101" i="1" l="1"/>
  <c r="A102" i="1"/>
  <c r="A103" i="1" l="1"/>
  <c r="C102" i="1"/>
  <c r="A104" i="1" l="1"/>
  <c r="C103" i="1"/>
  <c r="C104" i="1" l="1"/>
  <c r="A105" i="1"/>
  <c r="C105" i="1" l="1"/>
  <c r="A106" i="1"/>
  <c r="C106" i="1" l="1"/>
  <c r="A107" i="1"/>
  <c r="A108" i="1" l="1"/>
  <c r="C107" i="1"/>
  <c r="C108" i="1" l="1"/>
  <c r="A109" i="1"/>
  <c r="C109" i="1" l="1"/>
  <c r="A110" i="1"/>
  <c r="A111" i="1" l="1"/>
  <c r="C110" i="1"/>
  <c r="C111" i="1" l="1"/>
  <c r="A112" i="1"/>
  <c r="A113" i="1" l="1"/>
  <c r="C112" i="1"/>
  <c r="A114" i="1" l="1"/>
  <c r="A115" i="1" s="1"/>
  <c r="C113" i="1"/>
  <c r="A116" i="1" l="1"/>
  <c r="C115" i="1"/>
  <c r="C114" i="1"/>
  <c r="A117" i="1" l="1"/>
  <c r="C116" i="1"/>
  <c r="C117" i="1" l="1"/>
  <c r="A118" i="1"/>
  <c r="A119" i="1" l="1"/>
  <c r="C118" i="1"/>
  <c r="C119" i="1" l="1"/>
  <c r="A120" i="1"/>
  <c r="C120" i="1" l="1"/>
  <c r="A121" i="1"/>
  <c r="C121" i="1" l="1"/>
  <c r="A122" i="1"/>
  <c r="A123" i="1" l="1"/>
  <c r="C122" i="1"/>
  <c r="C123" i="1" l="1"/>
  <c r="A124" i="1"/>
  <c r="C124" i="1" l="1"/>
  <c r="A125" i="1"/>
  <c r="A126" i="1" l="1"/>
  <c r="C125" i="1"/>
  <c r="A127" i="1" l="1"/>
  <c r="C126" i="1"/>
  <c r="C127" i="1" l="1"/>
  <c r="A128" i="1"/>
  <c r="A129" i="1" l="1"/>
  <c r="C128" i="1"/>
  <c r="C129" i="1" l="1"/>
  <c r="A130" i="1"/>
  <c r="C130" i="1" l="1"/>
  <c r="A131" i="1"/>
  <c r="C131" i="1" l="1"/>
  <c r="A132" i="1"/>
  <c r="C132" i="1" l="1"/>
  <c r="A133" i="1"/>
  <c r="A134" i="1" l="1"/>
  <c r="A135" i="1" s="1"/>
  <c r="C133" i="1"/>
  <c r="C135" i="1" l="1"/>
  <c r="A136" i="1"/>
  <c r="C134" i="1"/>
  <c r="A137" i="1" l="1"/>
  <c r="C136" i="1"/>
  <c r="A138" i="1" l="1"/>
  <c r="C137" i="1"/>
  <c r="C138" i="1" l="1"/>
  <c r="A139" i="1"/>
  <c r="A140" i="1" l="1"/>
  <c r="C139" i="1"/>
  <c r="C140" i="1" l="1"/>
  <c r="A141" i="1"/>
  <c r="C141" i="1" l="1"/>
  <c r="A142" i="1"/>
  <c r="C142" i="1" l="1"/>
  <c r="A143" i="1"/>
  <c r="C143" i="1" l="1"/>
  <c r="A144" i="1"/>
  <c r="C144" i="1" l="1"/>
  <c r="A145" i="1"/>
  <c r="C145" i="1" l="1"/>
  <c r="A146" i="1"/>
  <c r="A147" i="1" l="1"/>
  <c r="C146" i="1"/>
  <c r="A148" i="1" l="1"/>
  <c r="C147" i="1"/>
  <c r="C148" i="1" l="1"/>
  <c r="A149" i="1"/>
  <c r="A150" i="1" l="1"/>
  <c r="C149" i="1"/>
  <c r="C150" i="1" l="1"/>
  <c r="A151" i="1"/>
  <c r="C151" i="1" l="1"/>
  <c r="A152" i="1"/>
  <c r="C152" i="1" l="1"/>
  <c r="A153" i="1"/>
  <c r="A154" i="1" l="1"/>
  <c r="C153" i="1"/>
  <c r="A155" i="1" l="1"/>
  <c r="C154" i="1"/>
  <c r="C155" i="1" l="1"/>
  <c r="A156" i="1"/>
  <c r="C156" i="1" l="1"/>
  <c r="A157" i="1"/>
  <c r="A158" i="1" l="1"/>
  <c r="C157" i="1"/>
  <c r="C158" i="1" l="1"/>
  <c r="A159" i="1"/>
  <c r="A160" i="1" l="1"/>
  <c r="C159" i="1"/>
  <c r="A161" i="1" l="1"/>
  <c r="C160" i="1"/>
  <c r="C161" i="1" l="1"/>
  <c r="A162" i="1"/>
  <c r="A163" i="1" l="1"/>
  <c r="C162" i="1"/>
  <c r="C163" i="1" l="1"/>
  <c r="A164" i="1"/>
  <c r="C164" i="1" l="1"/>
  <c r="A165" i="1"/>
  <c r="C165" i="1" l="1"/>
  <c r="A166" i="1"/>
  <c r="C166" i="1" l="1"/>
  <c r="A167" i="1"/>
  <c r="A168" i="1" l="1"/>
  <c r="C167" i="1"/>
  <c r="C168" i="1" l="1"/>
  <c r="A169" i="1"/>
  <c r="B30" i="2" l="1"/>
  <c r="C30" i="2"/>
  <c r="B31" i="2"/>
  <c r="A170" i="1"/>
  <c r="C169" i="1"/>
  <c r="C170" i="1" l="1"/>
  <c r="C96" i="2"/>
  <c r="C44" i="2"/>
  <c r="B78" i="2"/>
  <c r="B71" i="2"/>
  <c r="B80" i="2"/>
  <c r="C77" i="2"/>
  <c r="B69" i="2"/>
  <c r="B67" i="2"/>
  <c r="B60" i="2"/>
  <c r="B44" i="2"/>
  <c r="B58" i="2"/>
  <c r="C81" i="2"/>
  <c r="B51" i="2"/>
  <c r="C49" i="2"/>
  <c r="C51" i="2"/>
  <c r="B46" i="2"/>
  <c r="C53" i="2"/>
  <c r="B32" i="2"/>
  <c r="C99" i="2"/>
  <c r="C38" i="2"/>
  <c r="B66" i="2"/>
  <c r="C55" i="2"/>
  <c r="B54" i="2"/>
  <c r="C50" i="2"/>
  <c r="C45" i="2"/>
  <c r="B41" i="2"/>
  <c r="C41" i="2"/>
  <c r="C52" i="2"/>
  <c r="B37" i="2"/>
  <c r="B63" i="2"/>
  <c r="B50" i="2"/>
  <c r="C36" i="2"/>
  <c r="B43" i="2"/>
  <c r="B33" i="2"/>
  <c r="C42" i="2"/>
  <c r="C74" i="2"/>
  <c r="C83" i="2"/>
  <c r="C61" i="2"/>
  <c r="B49" i="2"/>
  <c r="C56" i="2"/>
  <c r="C91" i="2"/>
  <c r="B39" i="2"/>
  <c r="C48" i="2"/>
  <c r="C98" i="2"/>
  <c r="C63" i="2"/>
  <c r="B93" i="2"/>
  <c r="B35" i="2"/>
  <c r="C78" i="2"/>
  <c r="C89" i="2"/>
  <c r="C95" i="2"/>
  <c r="B56" i="2"/>
  <c r="B91" i="2"/>
  <c r="C68" i="2"/>
  <c r="B62" i="2"/>
  <c r="B92" i="2"/>
  <c r="C67" i="2"/>
  <c r="B64" i="2"/>
  <c r="C94" i="2"/>
  <c r="B82" i="2"/>
  <c r="C88" i="2"/>
  <c r="B34" i="2"/>
  <c r="B38" i="2"/>
  <c r="B99" i="2"/>
  <c r="B95" i="2"/>
  <c r="B98" i="2"/>
  <c r="C57" i="2"/>
  <c r="B40" i="2"/>
  <c r="C62" i="2"/>
  <c r="C70" i="2"/>
  <c r="B88" i="2"/>
  <c r="B52" i="2"/>
  <c r="B36" i="2"/>
  <c r="B61" i="2"/>
  <c r="B59" i="2"/>
  <c r="C59" i="2"/>
  <c r="C54" i="2"/>
  <c r="C65" i="2"/>
  <c r="B55" i="2"/>
  <c r="B83" i="2"/>
  <c r="C87" i="2"/>
  <c r="B87" i="2"/>
  <c r="B90" i="2"/>
  <c r="C47" i="2"/>
  <c r="B57" i="2"/>
  <c r="C46" i="2"/>
  <c r="B68" i="2"/>
  <c r="C37" i="2"/>
  <c r="C92" i="2"/>
  <c r="C73" i="2"/>
  <c r="B77" i="2"/>
  <c r="B74" i="2"/>
  <c r="C33" i="2"/>
  <c r="C39" i="2"/>
  <c r="C60" i="2"/>
  <c r="B76" i="2"/>
  <c r="B97" i="2"/>
  <c r="C84" i="2"/>
  <c r="B84" i="2"/>
  <c r="B75" i="2"/>
  <c r="C72" i="2"/>
  <c r="C90" i="2"/>
  <c r="B94" i="2"/>
  <c r="C43" i="2"/>
  <c r="B81" i="2"/>
  <c r="C75" i="2"/>
  <c r="B89" i="2"/>
  <c r="B85" i="2"/>
  <c r="C85" i="2"/>
  <c r="C82" i="2"/>
  <c r="B73" i="2"/>
  <c r="C32" i="2"/>
  <c r="C34" i="2"/>
  <c r="B42" i="2"/>
  <c r="C79" i="2"/>
  <c r="C80" i="2"/>
  <c r="C86" i="2"/>
  <c r="B70" i="2"/>
  <c r="C76" i="2"/>
  <c r="C71" i="2"/>
  <c r="B86" i="2"/>
  <c r="B48" i="2"/>
  <c r="B47" i="2"/>
  <c r="B53" i="2"/>
  <c r="C64" i="2"/>
  <c r="B72" i="2"/>
  <c r="B79" i="2"/>
  <c r="C40" i="2"/>
  <c r="C93" i="2"/>
  <c r="C66" i="2"/>
  <c r="B96" i="2"/>
  <c r="C97" i="2"/>
  <c r="B45" i="2"/>
  <c r="C69" i="2"/>
  <c r="C58" i="2"/>
  <c r="B65" i="2"/>
  <c r="C31" i="2" l="1"/>
  <c r="H31" i="2" s="1"/>
  <c r="C35" i="2"/>
  <c r="AD35" i="2" s="1"/>
  <c r="H30" i="2"/>
  <c r="G30" i="2"/>
  <c r="I30" i="2"/>
  <c r="M78" i="2"/>
  <c r="K78" i="2"/>
  <c r="AH78" i="2"/>
  <c r="AL78" i="2"/>
  <c r="S78" i="2"/>
  <c r="AB78" i="2"/>
  <c r="R78" i="2"/>
  <c r="Q78" i="2"/>
  <c r="AM78" i="2"/>
  <c r="AC78" i="2"/>
  <c r="W78" i="2"/>
  <c r="AP78" i="2"/>
  <c r="AG78" i="2"/>
  <c r="H78" i="2"/>
  <c r="T78" i="2"/>
  <c r="X78" i="2"/>
  <c r="J78" i="2"/>
  <c r="AF78" i="2"/>
  <c r="Y78" i="2"/>
  <c r="AI78" i="2"/>
  <c r="N78" i="2"/>
  <c r="I78" i="2"/>
  <c r="AA78" i="2"/>
  <c r="Z78" i="2"/>
  <c r="AJ78" i="2"/>
  <c r="U78" i="2"/>
  <c r="AK78" i="2"/>
  <c r="V78" i="2"/>
  <c r="AE78" i="2"/>
  <c r="AD78" i="2"/>
  <c r="O78" i="2"/>
  <c r="L78" i="2"/>
  <c r="G78" i="2"/>
  <c r="P78" i="2"/>
  <c r="AK76" i="2"/>
  <c r="G76" i="2"/>
  <c r="O76" i="2"/>
  <c r="P76" i="2"/>
  <c r="AG76" i="2"/>
  <c r="AF76" i="2"/>
  <c r="AC76" i="2"/>
  <c r="AE76" i="2"/>
  <c r="K76" i="2"/>
  <c r="Y76" i="2"/>
  <c r="M76" i="2"/>
  <c r="AJ76" i="2"/>
  <c r="J76" i="2"/>
  <c r="R76" i="2"/>
  <c r="AA76" i="2"/>
  <c r="AB76" i="2"/>
  <c r="S76" i="2"/>
  <c r="W76" i="2"/>
  <c r="AP76" i="2"/>
  <c r="H76" i="2"/>
  <c r="Z76" i="2"/>
  <c r="V76" i="2"/>
  <c r="L76" i="2"/>
  <c r="AM76" i="2"/>
  <c r="AH76" i="2"/>
  <c r="AD76" i="2"/>
  <c r="Q76" i="2"/>
  <c r="I76" i="2"/>
  <c r="X76" i="2"/>
  <c r="AI76" i="2"/>
  <c r="N76" i="2"/>
  <c r="AL76" i="2"/>
  <c r="U76" i="2"/>
  <c r="T76" i="2"/>
  <c r="AB60" i="2"/>
  <c r="K60" i="2"/>
  <c r="AC60" i="2"/>
  <c r="AH60" i="2"/>
  <c r="AA60" i="2"/>
  <c r="S60" i="2"/>
  <c r="T60" i="2"/>
  <c r="AF60" i="2"/>
  <c r="AK60" i="2"/>
  <c r="Y60" i="2"/>
  <c r="AJ60" i="2"/>
  <c r="O60" i="2"/>
  <c r="P60" i="2"/>
  <c r="W60" i="2"/>
  <c r="H60" i="2"/>
  <c r="I60" i="2"/>
  <c r="AP60" i="2"/>
  <c r="AG60" i="2"/>
  <c r="V60" i="2"/>
  <c r="G60" i="2"/>
  <c r="R60" i="2"/>
  <c r="Z60" i="2"/>
  <c r="AI60" i="2"/>
  <c r="U60" i="2"/>
  <c r="AL60" i="2"/>
  <c r="N60" i="2"/>
  <c r="AM60" i="2"/>
  <c r="M60" i="2"/>
  <c r="AD60" i="2"/>
  <c r="X60" i="2"/>
  <c r="Q60" i="2"/>
  <c r="AE60" i="2"/>
  <c r="J60" i="2"/>
  <c r="L60" i="2"/>
  <c r="AK47" i="2"/>
  <c r="AE47" i="2"/>
  <c r="AA47" i="2"/>
  <c r="P47" i="2"/>
  <c r="R47" i="2"/>
  <c r="M47" i="2"/>
  <c r="K47" i="2"/>
  <c r="AC47" i="2"/>
  <c r="AD47" i="2"/>
  <c r="AH47" i="2"/>
  <c r="H47" i="2"/>
  <c r="Y47" i="2"/>
  <c r="X47" i="2"/>
  <c r="AB47" i="2"/>
  <c r="O47" i="2"/>
  <c r="U47" i="2"/>
  <c r="T47" i="2"/>
  <c r="L47" i="2"/>
  <c r="W47" i="2"/>
  <c r="AP47" i="2"/>
  <c r="AM47" i="2"/>
  <c r="J47" i="2"/>
  <c r="Z47" i="2"/>
  <c r="N47" i="2"/>
  <c r="AI47" i="2"/>
  <c r="S47" i="2"/>
  <c r="V47" i="2"/>
  <c r="AL47" i="2"/>
  <c r="Q47" i="2"/>
  <c r="I47" i="2"/>
  <c r="AJ47" i="2"/>
  <c r="AG47" i="2"/>
  <c r="AF47" i="2"/>
  <c r="G47" i="2"/>
  <c r="I42" i="2"/>
  <c r="L42" i="2"/>
  <c r="M42" i="2"/>
  <c r="AL42" i="2"/>
  <c r="AA42" i="2"/>
  <c r="AK42" i="2"/>
  <c r="AM42" i="2"/>
  <c r="AB42" i="2"/>
  <c r="P42" i="2"/>
  <c r="U42" i="2"/>
  <c r="R42" i="2"/>
  <c r="O42" i="2"/>
  <c r="Y42" i="2"/>
  <c r="AH42" i="2"/>
  <c r="J42" i="2"/>
  <c r="W42" i="2"/>
  <c r="AP42" i="2"/>
  <c r="S42" i="2"/>
  <c r="T42" i="2"/>
  <c r="V42" i="2"/>
  <c r="AI42" i="2"/>
  <c r="AF42" i="2"/>
  <c r="AC42" i="2"/>
  <c r="X42" i="2"/>
  <c r="Q42" i="2"/>
  <c r="AE42" i="2"/>
  <c r="AG42" i="2"/>
  <c r="AD42" i="2"/>
  <c r="H42" i="2"/>
  <c r="N42" i="2"/>
  <c r="Z42" i="2"/>
  <c r="G42" i="2"/>
  <c r="AJ42" i="2"/>
  <c r="K42" i="2"/>
  <c r="AL50" i="2"/>
  <c r="U50" i="2"/>
  <c r="Q50" i="2"/>
  <c r="R50" i="2"/>
  <c r="J50" i="2"/>
  <c r="W50" i="2"/>
  <c r="AD50" i="2"/>
  <c r="L50" i="2"/>
  <c r="P50" i="2"/>
  <c r="V50" i="2"/>
  <c r="AJ50" i="2"/>
  <c r="AG50" i="2"/>
  <c r="G50" i="2"/>
  <c r="Z50" i="2"/>
  <c r="AH50" i="2"/>
  <c r="S50" i="2"/>
  <c r="AM50" i="2"/>
  <c r="M50" i="2"/>
  <c r="N50" i="2"/>
  <c r="AK50" i="2"/>
  <c r="AC50" i="2"/>
  <c r="I50" i="2"/>
  <c r="X50" i="2"/>
  <c r="T50" i="2"/>
  <c r="AE50" i="2"/>
  <c r="Y50" i="2"/>
  <c r="AF50" i="2"/>
  <c r="AA50" i="2"/>
  <c r="AI50" i="2"/>
  <c r="AB50" i="2"/>
  <c r="H50" i="2"/>
  <c r="K50" i="2"/>
  <c r="AP50" i="2"/>
  <c r="O50" i="2"/>
  <c r="AF66" i="2"/>
  <c r="M66" i="2"/>
  <c r="AH66" i="2"/>
  <c r="AE66" i="2"/>
  <c r="AI66" i="2"/>
  <c r="AL66" i="2"/>
  <c r="L66" i="2"/>
  <c r="I66" i="2"/>
  <c r="X66" i="2"/>
  <c r="AC66" i="2"/>
  <c r="AM66" i="2"/>
  <c r="Z66" i="2"/>
  <c r="J66" i="2"/>
  <c r="V66" i="2"/>
  <c r="H66" i="2"/>
  <c r="AP66" i="2"/>
  <c r="S66" i="2"/>
  <c r="T66" i="2"/>
  <c r="AD66" i="2"/>
  <c r="AK66" i="2"/>
  <c r="K66" i="2"/>
  <c r="AJ66" i="2"/>
  <c r="N66" i="2"/>
  <c r="Y66" i="2"/>
  <c r="AA66" i="2"/>
  <c r="AG66" i="2"/>
  <c r="U66" i="2"/>
  <c r="W66" i="2"/>
  <c r="P66" i="2"/>
  <c r="Q66" i="2"/>
  <c r="O66" i="2"/>
  <c r="G66" i="2"/>
  <c r="AB66" i="2"/>
  <c r="R66" i="2"/>
  <c r="K75" i="2"/>
  <c r="Z75" i="2"/>
  <c r="O75" i="2"/>
  <c r="H75" i="2"/>
  <c r="AP75" i="2"/>
  <c r="Q75" i="2"/>
  <c r="G75" i="2"/>
  <c r="AD75" i="2"/>
  <c r="U75" i="2"/>
  <c r="T75" i="2"/>
  <c r="AK75" i="2"/>
  <c r="AH75" i="2"/>
  <c r="P75" i="2"/>
  <c r="L75" i="2"/>
  <c r="W75" i="2"/>
  <c r="S75" i="2"/>
  <c r="X75" i="2"/>
  <c r="AA75" i="2"/>
  <c r="AF75" i="2"/>
  <c r="J75" i="2"/>
  <c r="AG75" i="2"/>
  <c r="M75" i="2"/>
  <c r="AJ75" i="2"/>
  <c r="AI75" i="2"/>
  <c r="AB75" i="2"/>
  <c r="AC75" i="2"/>
  <c r="N75" i="2"/>
  <c r="R75" i="2"/>
  <c r="I75" i="2"/>
  <c r="AM75" i="2"/>
  <c r="AE75" i="2"/>
  <c r="V75" i="2"/>
  <c r="AL75" i="2"/>
  <c r="Y75" i="2"/>
  <c r="AH39" i="2"/>
  <c r="V39" i="2"/>
  <c r="N39" i="2"/>
  <c r="Y39" i="2"/>
  <c r="AA39" i="2"/>
  <c r="AP39" i="2"/>
  <c r="T39" i="2"/>
  <c r="AD39" i="2"/>
  <c r="H39" i="2"/>
  <c r="U39" i="2"/>
  <c r="AF39" i="2"/>
  <c r="AE39" i="2"/>
  <c r="AC39" i="2"/>
  <c r="AJ39" i="2"/>
  <c r="Q39" i="2"/>
  <c r="M39" i="2"/>
  <c r="AM39" i="2"/>
  <c r="X39" i="2"/>
  <c r="L39" i="2"/>
  <c r="J39" i="2"/>
  <c r="I39" i="2"/>
  <c r="W39" i="2"/>
  <c r="AG39" i="2"/>
  <c r="O39" i="2"/>
  <c r="P39" i="2"/>
  <c r="AB39" i="2"/>
  <c r="G39" i="2"/>
  <c r="R39" i="2"/>
  <c r="K39" i="2"/>
  <c r="Z39" i="2"/>
  <c r="S39" i="2"/>
  <c r="AL39" i="2"/>
  <c r="AI39" i="2"/>
  <c r="AK39" i="2"/>
  <c r="AA94" i="2"/>
  <c r="AE94" i="2"/>
  <c r="AP94" i="2"/>
  <c r="AD94" i="2"/>
  <c r="T94" i="2"/>
  <c r="W94" i="2"/>
  <c r="AF94" i="2"/>
  <c r="N94" i="2"/>
  <c r="H94" i="2"/>
  <c r="AG94" i="2"/>
  <c r="O94" i="2"/>
  <c r="AM94" i="2"/>
  <c r="P94" i="2"/>
  <c r="AL94" i="2"/>
  <c r="Q94" i="2"/>
  <c r="U94" i="2"/>
  <c r="Z94" i="2"/>
  <c r="AB94" i="2"/>
  <c r="Y94" i="2"/>
  <c r="R94" i="2"/>
  <c r="I94" i="2"/>
  <c r="AJ94" i="2"/>
  <c r="M94" i="2"/>
  <c r="J94" i="2"/>
  <c r="AI94" i="2"/>
  <c r="L94" i="2"/>
  <c r="G94" i="2"/>
  <c r="S94" i="2"/>
  <c r="K94" i="2"/>
  <c r="AK94" i="2"/>
  <c r="AC94" i="2"/>
  <c r="X94" i="2"/>
  <c r="V94" i="2"/>
  <c r="AH94" i="2"/>
  <c r="AB55" i="2"/>
  <c r="H55" i="2"/>
  <c r="I55" i="2"/>
  <c r="M55" i="2"/>
  <c r="AD55" i="2"/>
  <c r="G55" i="2"/>
  <c r="AE55" i="2"/>
  <c r="W55" i="2"/>
  <c r="L55" i="2"/>
  <c r="Y55" i="2"/>
  <c r="AH55" i="2"/>
  <c r="AJ55" i="2"/>
  <c r="AI55" i="2"/>
  <c r="AK55" i="2"/>
  <c r="AM55" i="2"/>
  <c r="O55" i="2"/>
  <c r="N55" i="2"/>
  <c r="AA55" i="2"/>
  <c r="Q55" i="2"/>
  <c r="P55" i="2"/>
  <c r="Z55" i="2"/>
  <c r="S55" i="2"/>
  <c r="AP55" i="2"/>
  <c r="AL55" i="2"/>
  <c r="R55" i="2"/>
  <c r="J55" i="2"/>
  <c r="K55" i="2"/>
  <c r="T55" i="2"/>
  <c r="X55" i="2"/>
  <c r="V55" i="2"/>
  <c r="U55" i="2"/>
  <c r="AF55" i="2"/>
  <c r="AG55" i="2"/>
  <c r="AC55" i="2"/>
  <c r="R71" i="2"/>
  <c r="I71" i="2"/>
  <c r="M71" i="2"/>
  <c r="Q71" i="2"/>
  <c r="AH71" i="2"/>
  <c r="AE71" i="2"/>
  <c r="N71" i="2"/>
  <c r="U71" i="2"/>
  <c r="AF71" i="2"/>
  <c r="L71" i="2"/>
  <c r="AJ71" i="2"/>
  <c r="Y71" i="2"/>
  <c r="AK71" i="2"/>
  <c r="AG71" i="2"/>
  <c r="P71" i="2"/>
  <c r="O71" i="2"/>
  <c r="AP71" i="2"/>
  <c r="AI71" i="2"/>
  <c r="AA71" i="2"/>
  <c r="AD71" i="2"/>
  <c r="AB71" i="2"/>
  <c r="G71" i="2"/>
  <c r="AC71" i="2"/>
  <c r="J71" i="2"/>
  <c r="H71" i="2"/>
  <c r="Z71" i="2"/>
  <c r="K71" i="2"/>
  <c r="AM71" i="2"/>
  <c r="X71" i="2"/>
  <c r="V71" i="2"/>
  <c r="S71" i="2"/>
  <c r="W71" i="2"/>
  <c r="AL71" i="2"/>
  <c r="T71" i="2"/>
  <c r="M74" i="2"/>
  <c r="R74" i="2"/>
  <c r="AB74" i="2"/>
  <c r="AM74" i="2"/>
  <c r="K74" i="2"/>
  <c r="AH74" i="2"/>
  <c r="L74" i="2"/>
  <c r="AC74" i="2"/>
  <c r="AP74" i="2"/>
  <c r="Y74" i="2"/>
  <c r="AD74" i="2"/>
  <c r="U74" i="2"/>
  <c r="N74" i="2"/>
  <c r="J74" i="2"/>
  <c r="O74" i="2"/>
  <c r="X74" i="2"/>
  <c r="W74" i="2"/>
  <c r="AA74" i="2"/>
  <c r="AK74" i="2"/>
  <c r="S74" i="2"/>
  <c r="Z74" i="2"/>
  <c r="AF74" i="2"/>
  <c r="AE74" i="2"/>
  <c r="AJ74" i="2"/>
  <c r="V74" i="2"/>
  <c r="AG74" i="2"/>
  <c r="AL74" i="2"/>
  <c r="AI74" i="2"/>
  <c r="I74" i="2"/>
  <c r="T74" i="2"/>
  <c r="P74" i="2"/>
  <c r="H74" i="2"/>
  <c r="Q74" i="2"/>
  <c r="G74" i="2"/>
  <c r="Z86" i="2"/>
  <c r="AJ86" i="2"/>
  <c r="AH86" i="2"/>
  <c r="AE86" i="2"/>
  <c r="P86" i="2"/>
  <c r="Y86" i="2"/>
  <c r="Q86" i="2"/>
  <c r="G86" i="2"/>
  <c r="X86" i="2"/>
  <c r="AI86" i="2"/>
  <c r="AG86" i="2"/>
  <c r="L86" i="2"/>
  <c r="AL86" i="2"/>
  <c r="AB86" i="2"/>
  <c r="O86" i="2"/>
  <c r="J86" i="2"/>
  <c r="AK86" i="2"/>
  <c r="AA86" i="2"/>
  <c r="T86" i="2"/>
  <c r="H86" i="2"/>
  <c r="R86" i="2"/>
  <c r="K86" i="2"/>
  <c r="N86" i="2"/>
  <c r="W86" i="2"/>
  <c r="AP86" i="2"/>
  <c r="AC86" i="2"/>
  <c r="AF86" i="2"/>
  <c r="I86" i="2"/>
  <c r="S86" i="2"/>
  <c r="AM86" i="2"/>
  <c r="V86" i="2"/>
  <c r="M86" i="2"/>
  <c r="AD86" i="2"/>
  <c r="U86" i="2"/>
  <c r="N33" i="2"/>
  <c r="W33" i="2"/>
  <c r="P33" i="2"/>
  <c r="AG33" i="2"/>
  <c r="AK33" i="2"/>
  <c r="G33" i="2"/>
  <c r="AH33" i="2"/>
  <c r="AB33" i="2"/>
  <c r="Y33" i="2"/>
  <c r="V33" i="2"/>
  <c r="U33" i="2"/>
  <c r="AI33" i="2"/>
  <c r="AM33" i="2"/>
  <c r="AL33" i="2"/>
  <c r="H33" i="2"/>
  <c r="J33" i="2"/>
  <c r="AE33" i="2"/>
  <c r="L33" i="2"/>
  <c r="R33" i="2"/>
  <c r="Q33" i="2"/>
  <c r="M33" i="2"/>
  <c r="Z33" i="2"/>
  <c r="X33" i="2"/>
  <c r="S33" i="2"/>
  <c r="T33" i="2"/>
  <c r="I33" i="2"/>
  <c r="AD33" i="2"/>
  <c r="AC33" i="2"/>
  <c r="AA33" i="2"/>
  <c r="AJ33" i="2"/>
  <c r="K33" i="2"/>
  <c r="O33" i="2"/>
  <c r="AF33" i="2"/>
  <c r="X70" i="2"/>
  <c r="W70" i="2"/>
  <c r="AD70" i="2"/>
  <c r="N70" i="2"/>
  <c r="AE70" i="2"/>
  <c r="AJ70" i="2"/>
  <c r="P70" i="2"/>
  <c r="M70" i="2"/>
  <c r="O70" i="2"/>
  <c r="AH70" i="2"/>
  <c r="S70" i="2"/>
  <c r="Q70" i="2"/>
  <c r="Z70" i="2"/>
  <c r="Y70" i="2"/>
  <c r="AA70" i="2"/>
  <c r="I70" i="2"/>
  <c r="AF70" i="2"/>
  <c r="AC70" i="2"/>
  <c r="AI70" i="2"/>
  <c r="T70" i="2"/>
  <c r="J70" i="2"/>
  <c r="AB70" i="2"/>
  <c r="L70" i="2"/>
  <c r="K70" i="2"/>
  <c r="AL70" i="2"/>
  <c r="AK70" i="2"/>
  <c r="AM70" i="2"/>
  <c r="AP70" i="2"/>
  <c r="R70" i="2"/>
  <c r="AG70" i="2"/>
  <c r="U70" i="2"/>
  <c r="H70" i="2"/>
  <c r="V70" i="2"/>
  <c r="G70" i="2"/>
  <c r="AG63" i="2"/>
  <c r="AM63" i="2"/>
  <c r="P63" i="2"/>
  <c r="N63" i="2"/>
  <c r="S63" i="2"/>
  <c r="AK63" i="2"/>
  <c r="H63" i="2"/>
  <c r="AJ63" i="2"/>
  <c r="AE63" i="2"/>
  <c r="AH63" i="2"/>
  <c r="W63" i="2"/>
  <c r="Y63" i="2"/>
  <c r="K63" i="2"/>
  <c r="AD63" i="2"/>
  <c r="AL63" i="2"/>
  <c r="AF63" i="2"/>
  <c r="U63" i="2"/>
  <c r="I63" i="2"/>
  <c r="J63" i="2"/>
  <c r="AI63" i="2"/>
  <c r="R63" i="2"/>
  <c r="X63" i="2"/>
  <c r="AC63" i="2"/>
  <c r="O63" i="2"/>
  <c r="M63" i="2"/>
  <c r="Z63" i="2"/>
  <c r="T63" i="2"/>
  <c r="AA63" i="2"/>
  <c r="Q63" i="2"/>
  <c r="AP63" i="2"/>
  <c r="G63" i="2"/>
  <c r="V63" i="2"/>
  <c r="AB63" i="2"/>
  <c r="L63" i="2"/>
  <c r="AE88" i="2"/>
  <c r="H88" i="2"/>
  <c r="O88" i="2"/>
  <c r="Z88" i="2"/>
  <c r="AI88" i="2"/>
  <c r="R88" i="2"/>
  <c r="AM88" i="2"/>
  <c r="X88" i="2"/>
  <c r="AA88" i="2"/>
  <c r="J88" i="2"/>
  <c r="Y88" i="2"/>
  <c r="P88" i="2"/>
  <c r="AL88" i="2"/>
  <c r="I88" i="2"/>
  <c r="M88" i="2"/>
  <c r="V88" i="2"/>
  <c r="T88" i="2"/>
  <c r="AB88" i="2"/>
  <c r="AH88" i="2"/>
  <c r="AJ88" i="2"/>
  <c r="AD88" i="2"/>
  <c r="K88" i="2"/>
  <c r="AK88" i="2"/>
  <c r="G88" i="2"/>
  <c r="Q88" i="2"/>
  <c r="AF88" i="2"/>
  <c r="AP88" i="2"/>
  <c r="AC88" i="2"/>
  <c r="N88" i="2"/>
  <c r="S88" i="2"/>
  <c r="W88" i="2"/>
  <c r="U88" i="2"/>
  <c r="L88" i="2"/>
  <c r="AG88" i="2"/>
  <c r="N40" i="2"/>
  <c r="AI40" i="2"/>
  <c r="M40" i="2"/>
  <c r="AP40" i="2"/>
  <c r="J40" i="2"/>
  <c r="W40" i="2"/>
  <c r="P40" i="2"/>
  <c r="Q40" i="2"/>
  <c r="V40" i="2"/>
  <c r="S40" i="2"/>
  <c r="R40" i="2"/>
  <c r="K40" i="2"/>
  <c r="Y40" i="2"/>
  <c r="AL40" i="2"/>
  <c r="L40" i="2"/>
  <c r="AF40" i="2"/>
  <c r="T40" i="2"/>
  <c r="O40" i="2"/>
  <c r="X40" i="2"/>
  <c r="AH40" i="2"/>
  <c r="AC40" i="2"/>
  <c r="I40" i="2"/>
  <c r="AM40" i="2"/>
  <c r="G40" i="2"/>
  <c r="H40" i="2"/>
  <c r="Z40" i="2"/>
  <c r="AD40" i="2"/>
  <c r="AJ40" i="2"/>
  <c r="AB40" i="2"/>
  <c r="AG40" i="2"/>
  <c r="AA40" i="2"/>
  <c r="AK40" i="2"/>
  <c r="AE40" i="2"/>
  <c r="U40" i="2"/>
  <c r="K80" i="2"/>
  <c r="H80" i="2"/>
  <c r="P80" i="2"/>
  <c r="V80" i="2"/>
  <c r="T80" i="2"/>
  <c r="AB80" i="2"/>
  <c r="I80" i="2"/>
  <c r="AK80" i="2"/>
  <c r="U80" i="2"/>
  <c r="AM80" i="2"/>
  <c r="AE80" i="2"/>
  <c r="AH80" i="2"/>
  <c r="AI80" i="2"/>
  <c r="AC80" i="2"/>
  <c r="AL80" i="2"/>
  <c r="AD80" i="2"/>
  <c r="AF80" i="2"/>
  <c r="M80" i="2"/>
  <c r="Z80" i="2"/>
  <c r="AJ80" i="2"/>
  <c r="W80" i="2"/>
  <c r="Q80" i="2"/>
  <c r="G80" i="2"/>
  <c r="AG80" i="2"/>
  <c r="X80" i="2"/>
  <c r="J80" i="2"/>
  <c r="Y80" i="2"/>
  <c r="O80" i="2"/>
  <c r="L80" i="2"/>
  <c r="AA80" i="2"/>
  <c r="AP80" i="2"/>
  <c r="N80" i="2"/>
  <c r="R80" i="2"/>
  <c r="S80" i="2"/>
  <c r="AF43" i="2"/>
  <c r="AL43" i="2"/>
  <c r="V43" i="2"/>
  <c r="S43" i="2"/>
  <c r="AK43" i="2"/>
  <c r="X43" i="2"/>
  <c r="AJ43" i="2"/>
  <c r="R43" i="2"/>
  <c r="AB43" i="2"/>
  <c r="J43" i="2"/>
  <c r="AH43" i="2"/>
  <c r="Z43" i="2"/>
  <c r="W43" i="2"/>
  <c r="I43" i="2"/>
  <c r="AD43" i="2"/>
  <c r="Q43" i="2"/>
  <c r="P43" i="2"/>
  <c r="T43" i="2"/>
  <c r="AE43" i="2"/>
  <c r="L43" i="2"/>
  <c r="AM43" i="2"/>
  <c r="AA43" i="2"/>
  <c r="AC43" i="2"/>
  <c r="AI43" i="2"/>
  <c r="O43" i="2"/>
  <c r="Y43" i="2"/>
  <c r="U43" i="2"/>
  <c r="AP43" i="2"/>
  <c r="G43" i="2"/>
  <c r="H43" i="2"/>
  <c r="N43" i="2"/>
  <c r="K43" i="2"/>
  <c r="AG43" i="2"/>
  <c r="M43" i="2"/>
  <c r="N35" i="2"/>
  <c r="AA35" i="2"/>
  <c r="K35" i="2"/>
  <c r="R35" i="2"/>
  <c r="Q35" i="2"/>
  <c r="O35" i="2"/>
  <c r="AH87" i="2"/>
  <c r="W87" i="2"/>
  <c r="H87" i="2"/>
  <c r="AK87" i="2"/>
  <c r="AM87" i="2"/>
  <c r="AF87" i="2"/>
  <c r="R87" i="2"/>
  <c r="AI87" i="2"/>
  <c r="M87" i="2"/>
  <c r="S87" i="2"/>
  <c r="L87" i="2"/>
  <c r="P87" i="2"/>
  <c r="AD87" i="2"/>
  <c r="Q87" i="2"/>
  <c r="AE87" i="2"/>
  <c r="AC87" i="2"/>
  <c r="X87" i="2"/>
  <c r="AP87" i="2"/>
  <c r="N87" i="2"/>
  <c r="AJ87" i="2"/>
  <c r="J87" i="2"/>
  <c r="T87" i="2"/>
  <c r="I87" i="2"/>
  <c r="V87" i="2"/>
  <c r="K87" i="2"/>
  <c r="U87" i="2"/>
  <c r="O87" i="2"/>
  <c r="AL87" i="2"/>
  <c r="G87" i="2"/>
  <c r="Z87" i="2"/>
  <c r="AA87" i="2"/>
  <c r="AG87" i="2"/>
  <c r="AB87" i="2"/>
  <c r="Y87" i="2"/>
  <c r="T62" i="2"/>
  <c r="AP62" i="2"/>
  <c r="AF62" i="2"/>
  <c r="I62" i="2"/>
  <c r="L62" i="2"/>
  <c r="R62" i="2"/>
  <c r="H62" i="2"/>
  <c r="AD62" i="2"/>
  <c r="S62" i="2"/>
  <c r="X62" i="2"/>
  <c r="V62" i="2"/>
  <c r="AJ62" i="2"/>
  <c r="G62" i="2"/>
  <c r="AA62" i="2"/>
  <c r="O62" i="2"/>
  <c r="M62" i="2"/>
  <c r="K62" i="2"/>
  <c r="AG62" i="2"/>
  <c r="P62" i="2"/>
  <c r="J62" i="2"/>
  <c r="Y62" i="2"/>
  <c r="AB62" i="2"/>
  <c r="Q62" i="2"/>
  <c r="W62" i="2"/>
  <c r="AC62" i="2"/>
  <c r="AM62" i="2"/>
  <c r="AL62" i="2"/>
  <c r="AE62" i="2"/>
  <c r="Z62" i="2"/>
  <c r="AK62" i="2"/>
  <c r="AH62" i="2"/>
  <c r="N62" i="2"/>
  <c r="AI62" i="2"/>
  <c r="U62" i="2"/>
  <c r="S67" i="2"/>
  <c r="M67" i="2"/>
  <c r="N67" i="2"/>
  <c r="AF67" i="2"/>
  <c r="H67" i="2"/>
  <c r="AD67" i="2"/>
  <c r="AM67" i="2"/>
  <c r="AE67" i="2"/>
  <c r="AG67" i="2"/>
  <c r="O67" i="2"/>
  <c r="AB67" i="2"/>
  <c r="R67" i="2"/>
  <c r="W67" i="2"/>
  <c r="X67" i="2"/>
  <c r="I67" i="2"/>
  <c r="AJ67" i="2"/>
  <c r="Y67" i="2"/>
  <c r="L67" i="2"/>
  <c r="AI67" i="2"/>
  <c r="U67" i="2"/>
  <c r="G67" i="2"/>
  <c r="Z67" i="2"/>
  <c r="AK67" i="2"/>
  <c r="J67" i="2"/>
  <c r="AP67" i="2"/>
  <c r="Q67" i="2"/>
  <c r="V67" i="2"/>
  <c r="AL67" i="2"/>
  <c r="AA67" i="2"/>
  <c r="P67" i="2"/>
  <c r="K67" i="2"/>
  <c r="AH67" i="2"/>
  <c r="AC67" i="2"/>
  <c r="T67" i="2"/>
  <c r="R98" i="2"/>
  <c r="AC98" i="2"/>
  <c r="AM98" i="2"/>
  <c r="V98" i="2"/>
  <c r="AD98" i="2"/>
  <c r="AE98" i="2"/>
  <c r="G98" i="2"/>
  <c r="N98" i="2"/>
  <c r="P98" i="2"/>
  <c r="O98" i="2"/>
  <c r="AK98" i="2"/>
  <c r="AL98" i="2"/>
  <c r="AP98" i="2"/>
  <c r="X98" i="2"/>
  <c r="AJ98" i="2"/>
  <c r="M98" i="2"/>
  <c r="U98" i="2"/>
  <c r="AF98" i="2"/>
  <c r="AI98" i="2"/>
  <c r="S98" i="2"/>
  <c r="H98" i="2"/>
  <c r="AB98" i="2"/>
  <c r="K98" i="2"/>
  <c r="I98" i="2"/>
  <c r="AG98" i="2"/>
  <c r="Y98" i="2"/>
  <c r="Q98" i="2"/>
  <c r="J98" i="2"/>
  <c r="T98" i="2"/>
  <c r="W98" i="2"/>
  <c r="Z98" i="2"/>
  <c r="AH98" i="2"/>
  <c r="L98" i="2"/>
  <c r="AA98" i="2"/>
  <c r="R36" i="2"/>
  <c r="AB36" i="2"/>
  <c r="I36" i="2"/>
  <c r="AD36" i="2"/>
  <c r="AJ36" i="2"/>
  <c r="AG36" i="2"/>
  <c r="AH36" i="2"/>
  <c r="M36" i="2"/>
  <c r="N36" i="2"/>
  <c r="AC36" i="2"/>
  <c r="L36" i="2"/>
  <c r="AI36" i="2"/>
  <c r="G36" i="2"/>
  <c r="P36" i="2"/>
  <c r="AL36" i="2"/>
  <c r="AE36" i="2"/>
  <c r="Q36" i="2"/>
  <c r="V36" i="2"/>
  <c r="U36" i="2"/>
  <c r="W36" i="2"/>
  <c r="H36" i="2"/>
  <c r="Z36" i="2"/>
  <c r="AF36" i="2"/>
  <c r="AA36" i="2"/>
  <c r="J36" i="2"/>
  <c r="T36" i="2"/>
  <c r="S36" i="2"/>
  <c r="AM36" i="2"/>
  <c r="AP36" i="2"/>
  <c r="Y36" i="2"/>
  <c r="AK36" i="2"/>
  <c r="O36" i="2"/>
  <c r="X36" i="2"/>
  <c r="K36" i="2"/>
  <c r="J38" i="2"/>
  <c r="L38" i="2"/>
  <c r="AA38" i="2"/>
  <c r="AI38" i="2"/>
  <c r="AL38" i="2"/>
  <c r="W38" i="2"/>
  <c r="U38" i="2"/>
  <c r="O38" i="2"/>
  <c r="T38" i="2"/>
  <c r="AD38" i="2"/>
  <c r="P38" i="2"/>
  <c r="G38" i="2"/>
  <c r="V38" i="2"/>
  <c r="Q38" i="2"/>
  <c r="S38" i="2"/>
  <c r="N38" i="2"/>
  <c r="AK38" i="2"/>
  <c r="AP38" i="2"/>
  <c r="AJ38" i="2"/>
  <c r="Y38" i="2"/>
  <c r="R38" i="2"/>
  <c r="AG38" i="2"/>
  <c r="Z38" i="2"/>
  <c r="AC38" i="2"/>
  <c r="M38" i="2"/>
  <c r="I38" i="2"/>
  <c r="AF38" i="2"/>
  <c r="X38" i="2"/>
  <c r="AM38" i="2"/>
  <c r="H38" i="2"/>
  <c r="K38" i="2"/>
  <c r="AH38" i="2"/>
  <c r="AE38" i="2"/>
  <c r="AB38" i="2"/>
  <c r="Z79" i="2"/>
  <c r="O79" i="2"/>
  <c r="M79" i="2"/>
  <c r="W79" i="2"/>
  <c r="AB79" i="2"/>
  <c r="AE79" i="2"/>
  <c r="AL79" i="2"/>
  <c r="T79" i="2"/>
  <c r="X79" i="2"/>
  <c r="AD79" i="2"/>
  <c r="Q79" i="2"/>
  <c r="Y79" i="2"/>
  <c r="I79" i="2"/>
  <c r="AC79" i="2"/>
  <c r="J79" i="2"/>
  <c r="H79" i="2"/>
  <c r="AP79" i="2"/>
  <c r="AI79" i="2"/>
  <c r="AA79" i="2"/>
  <c r="R79" i="2"/>
  <c r="U79" i="2"/>
  <c r="AM79" i="2"/>
  <c r="AJ79" i="2"/>
  <c r="V79" i="2"/>
  <c r="G79" i="2"/>
  <c r="AK79" i="2"/>
  <c r="AG79" i="2"/>
  <c r="AF79" i="2"/>
  <c r="N79" i="2"/>
  <c r="AH79" i="2"/>
  <c r="S79" i="2"/>
  <c r="K79" i="2"/>
  <c r="P79" i="2"/>
  <c r="L79" i="2"/>
  <c r="AF48" i="2"/>
  <c r="T48" i="2"/>
  <c r="W48" i="2"/>
  <c r="O48" i="2"/>
  <c r="Z48" i="2"/>
  <c r="S48" i="2"/>
  <c r="AA48" i="2"/>
  <c r="H48" i="2"/>
  <c r="AL48" i="2"/>
  <c r="R48" i="2"/>
  <c r="X48" i="2"/>
  <c r="P48" i="2"/>
  <c r="AP48" i="2"/>
  <c r="M48" i="2"/>
  <c r="AJ48" i="2"/>
  <c r="N48" i="2"/>
  <c r="AE48" i="2"/>
  <c r="AK48" i="2"/>
  <c r="AD48" i="2"/>
  <c r="V48" i="2"/>
  <c r="AM48" i="2"/>
  <c r="K48" i="2"/>
  <c r="I48" i="2"/>
  <c r="AC48" i="2"/>
  <c r="AH48" i="2"/>
  <c r="AI48" i="2"/>
  <c r="L48" i="2"/>
  <c r="Y48" i="2"/>
  <c r="AG48" i="2"/>
  <c r="AB48" i="2"/>
  <c r="Q48" i="2"/>
  <c r="J48" i="2"/>
  <c r="U48" i="2"/>
  <c r="G48" i="2"/>
  <c r="AB99" i="2"/>
  <c r="G99" i="2"/>
  <c r="Y99" i="2"/>
  <c r="T99" i="2"/>
  <c r="M99" i="2"/>
  <c r="V99" i="2"/>
  <c r="U99" i="2"/>
  <c r="J99" i="2"/>
  <c r="O99" i="2"/>
  <c r="AC99" i="2"/>
  <c r="AP99" i="2"/>
  <c r="AM99" i="2"/>
  <c r="AF99" i="2"/>
  <c r="I99" i="2"/>
  <c r="AH99" i="2"/>
  <c r="R99" i="2"/>
  <c r="AE99" i="2"/>
  <c r="K99" i="2"/>
  <c r="AD99" i="2"/>
  <c r="Q99" i="2"/>
  <c r="AA99" i="2"/>
  <c r="AG99" i="2"/>
  <c r="W99" i="2"/>
  <c r="S99" i="2"/>
  <c r="N99" i="2"/>
  <c r="AI99" i="2"/>
  <c r="AK99" i="2"/>
  <c r="L99" i="2"/>
  <c r="H99" i="2"/>
  <c r="P99" i="2"/>
  <c r="AJ99" i="2"/>
  <c r="AL99" i="2"/>
  <c r="Z99" i="2"/>
  <c r="X99" i="2"/>
  <c r="N93" i="2"/>
  <c r="AP93" i="2"/>
  <c r="AA93" i="2"/>
  <c r="I93" i="2"/>
  <c r="V93" i="2"/>
  <c r="O93" i="2"/>
  <c r="AK93" i="2"/>
  <c r="M93" i="2"/>
  <c r="T93" i="2"/>
  <c r="H93" i="2"/>
  <c r="AI93" i="2"/>
  <c r="AC93" i="2"/>
  <c r="X93" i="2"/>
  <c r="Y93" i="2"/>
  <c r="K93" i="2"/>
  <c r="AB93" i="2"/>
  <c r="AF93" i="2"/>
  <c r="S93" i="2"/>
  <c r="Z93" i="2"/>
  <c r="AM93" i="2"/>
  <c r="J93" i="2"/>
  <c r="Q93" i="2"/>
  <c r="W93" i="2"/>
  <c r="AH93" i="2"/>
  <c r="AG93" i="2"/>
  <c r="AJ93" i="2"/>
  <c r="U93" i="2"/>
  <c r="R93" i="2"/>
  <c r="G93" i="2"/>
  <c r="L93" i="2"/>
  <c r="AL93" i="2"/>
  <c r="AE93" i="2"/>
  <c r="AD93" i="2"/>
  <c r="P93" i="2"/>
  <c r="AE90" i="2"/>
  <c r="AJ90" i="2"/>
  <c r="Q90" i="2"/>
  <c r="AF90" i="2"/>
  <c r="AD90" i="2"/>
  <c r="S90" i="2"/>
  <c r="H90" i="2"/>
  <c r="AH90" i="2"/>
  <c r="O90" i="2"/>
  <c r="AM90" i="2"/>
  <c r="AA90" i="2"/>
  <c r="AB90" i="2"/>
  <c r="X90" i="2"/>
  <c r="AI90" i="2"/>
  <c r="AP90" i="2"/>
  <c r="AL90" i="2"/>
  <c r="Y90" i="2"/>
  <c r="P90" i="2"/>
  <c r="L90" i="2"/>
  <c r="V90" i="2"/>
  <c r="W90" i="2"/>
  <c r="J90" i="2"/>
  <c r="G90" i="2"/>
  <c r="I90" i="2"/>
  <c r="K90" i="2"/>
  <c r="AC90" i="2"/>
  <c r="U90" i="2"/>
  <c r="Z90" i="2"/>
  <c r="T90" i="2"/>
  <c r="N90" i="2"/>
  <c r="M90" i="2"/>
  <c r="R90" i="2"/>
  <c r="AG90" i="2"/>
  <c r="AK90" i="2"/>
  <c r="AA57" i="2"/>
  <c r="R57" i="2"/>
  <c r="AJ57" i="2"/>
  <c r="Q57" i="2"/>
  <c r="P57" i="2"/>
  <c r="M57" i="2"/>
  <c r="AC57" i="2"/>
  <c r="J57" i="2"/>
  <c r="T57" i="2"/>
  <c r="AI57" i="2"/>
  <c r="AD57" i="2"/>
  <c r="H57" i="2"/>
  <c r="W57" i="2"/>
  <c r="AH57" i="2"/>
  <c r="I57" i="2"/>
  <c r="AP57" i="2"/>
  <c r="AE57" i="2"/>
  <c r="G57" i="2"/>
  <c r="V57" i="2"/>
  <c r="AK57" i="2"/>
  <c r="AG57" i="2"/>
  <c r="S57" i="2"/>
  <c r="AF57" i="2"/>
  <c r="U57" i="2"/>
  <c r="AM57" i="2"/>
  <c r="Y57" i="2"/>
  <c r="X57" i="2"/>
  <c r="K57" i="2"/>
  <c r="Z57" i="2"/>
  <c r="O57" i="2"/>
  <c r="AB57" i="2"/>
  <c r="L57" i="2"/>
  <c r="N57" i="2"/>
  <c r="AL57" i="2"/>
  <c r="AH77" i="2"/>
  <c r="V77" i="2"/>
  <c r="W77" i="2"/>
  <c r="AJ77" i="2"/>
  <c r="M77" i="2"/>
  <c r="AD77" i="2"/>
  <c r="L77" i="2"/>
  <c r="AL77" i="2"/>
  <c r="O77" i="2"/>
  <c r="H77" i="2"/>
  <c r="T77" i="2"/>
  <c r="P77" i="2"/>
  <c r="AC77" i="2"/>
  <c r="Y77" i="2"/>
  <c r="AA77" i="2"/>
  <c r="AF77" i="2"/>
  <c r="G77" i="2"/>
  <c r="AB77" i="2"/>
  <c r="AG77" i="2"/>
  <c r="Q77" i="2"/>
  <c r="I77" i="2"/>
  <c r="R77" i="2"/>
  <c r="AK77" i="2"/>
  <c r="AM77" i="2"/>
  <c r="N77" i="2"/>
  <c r="S77" i="2"/>
  <c r="AP77" i="2"/>
  <c r="J77" i="2"/>
  <c r="X77" i="2"/>
  <c r="U77" i="2"/>
  <c r="AI77" i="2"/>
  <c r="K77" i="2"/>
  <c r="Z77" i="2"/>
  <c r="AE77" i="2"/>
  <c r="Y64" i="2"/>
  <c r="P64" i="2"/>
  <c r="I64" i="2"/>
  <c r="AL64" i="2"/>
  <c r="AD64" i="2"/>
  <c r="AK64" i="2"/>
  <c r="N64" i="2"/>
  <c r="X64" i="2"/>
  <c r="AP64" i="2"/>
  <c r="H64" i="2"/>
  <c r="O64" i="2"/>
  <c r="AM64" i="2"/>
  <c r="AA64" i="2"/>
  <c r="G64" i="2"/>
  <c r="Z64" i="2"/>
  <c r="AE64" i="2"/>
  <c r="U64" i="2"/>
  <c r="L64" i="2"/>
  <c r="AI64" i="2"/>
  <c r="W64" i="2"/>
  <c r="T64" i="2"/>
  <c r="J64" i="2"/>
  <c r="Q64" i="2"/>
  <c r="AJ64" i="2"/>
  <c r="AF64" i="2"/>
  <c r="R64" i="2"/>
  <c r="V64" i="2"/>
  <c r="M64" i="2"/>
  <c r="AC64" i="2"/>
  <c r="AG64" i="2"/>
  <c r="S64" i="2"/>
  <c r="AB64" i="2"/>
  <c r="K64" i="2"/>
  <c r="AH64" i="2"/>
  <c r="AD34" i="2"/>
  <c r="M34" i="2"/>
  <c r="AF34" i="2"/>
  <c r="AL34" i="2"/>
  <c r="K34" i="2"/>
  <c r="AP34" i="2"/>
  <c r="AC34" i="2"/>
  <c r="AI34" i="2"/>
  <c r="S34" i="2"/>
  <c r="X34" i="2"/>
  <c r="AM34" i="2"/>
  <c r="H34" i="2"/>
  <c r="AG34" i="2"/>
  <c r="AB34" i="2"/>
  <c r="AK34" i="2"/>
  <c r="V34" i="2"/>
  <c r="Y34" i="2"/>
  <c r="Z34" i="2"/>
  <c r="AE34" i="2"/>
  <c r="I34" i="2"/>
  <c r="R34" i="2"/>
  <c r="N34" i="2"/>
  <c r="P34" i="2"/>
  <c r="W34" i="2"/>
  <c r="L34" i="2"/>
  <c r="T34" i="2"/>
  <c r="AH34" i="2"/>
  <c r="Q34" i="2"/>
  <c r="AA34" i="2"/>
  <c r="AJ34" i="2"/>
  <c r="J34" i="2"/>
  <c r="O34" i="2"/>
  <c r="U34" i="2"/>
  <c r="G34" i="2"/>
  <c r="AH72" i="2"/>
  <c r="I72" i="2"/>
  <c r="K72" i="2"/>
  <c r="AE72" i="2"/>
  <c r="AK72" i="2"/>
  <c r="M72" i="2"/>
  <c r="U72" i="2"/>
  <c r="P72" i="2"/>
  <c r="Y72" i="2"/>
  <c r="AM72" i="2"/>
  <c r="Q72" i="2"/>
  <c r="N72" i="2"/>
  <c r="R72" i="2"/>
  <c r="AF72" i="2"/>
  <c r="O72" i="2"/>
  <c r="AD72" i="2"/>
  <c r="AJ72" i="2"/>
  <c r="G72" i="2"/>
  <c r="AG72" i="2"/>
  <c r="AB72" i="2"/>
  <c r="Z72" i="2"/>
  <c r="AL72" i="2"/>
  <c r="AC72" i="2"/>
  <c r="AI72" i="2"/>
  <c r="H72" i="2"/>
  <c r="J72" i="2"/>
  <c r="W72" i="2"/>
  <c r="L72" i="2"/>
  <c r="AP72" i="2"/>
  <c r="AA72" i="2"/>
  <c r="T72" i="2"/>
  <c r="V72" i="2"/>
  <c r="S72" i="2"/>
  <c r="X72" i="2"/>
  <c r="M73" i="2"/>
  <c r="V73" i="2"/>
  <c r="Z73" i="2"/>
  <c r="R73" i="2"/>
  <c r="AH73" i="2"/>
  <c r="AG73" i="2"/>
  <c r="W73" i="2"/>
  <c r="AF73" i="2"/>
  <c r="AI73" i="2"/>
  <c r="H73" i="2"/>
  <c r="AD73" i="2"/>
  <c r="Y73" i="2"/>
  <c r="P73" i="2"/>
  <c r="AM73" i="2"/>
  <c r="AL73" i="2"/>
  <c r="AJ73" i="2"/>
  <c r="I73" i="2"/>
  <c r="G73" i="2"/>
  <c r="O73" i="2"/>
  <c r="N73" i="2"/>
  <c r="AK73" i="2"/>
  <c r="AB73" i="2"/>
  <c r="U73" i="2"/>
  <c r="S73" i="2"/>
  <c r="AC73" i="2"/>
  <c r="Q73" i="2"/>
  <c r="J73" i="2"/>
  <c r="L73" i="2"/>
  <c r="T73" i="2"/>
  <c r="X73" i="2"/>
  <c r="AA73" i="2"/>
  <c r="K73" i="2"/>
  <c r="AE73" i="2"/>
  <c r="AP73" i="2"/>
  <c r="AK65" i="2"/>
  <c r="AE65" i="2"/>
  <c r="H65" i="2"/>
  <c r="Y65" i="2"/>
  <c r="AD65" i="2"/>
  <c r="I65" i="2"/>
  <c r="J65" i="2"/>
  <c r="K65" i="2"/>
  <c r="N65" i="2"/>
  <c r="Z65" i="2"/>
  <c r="AP65" i="2"/>
  <c r="T65" i="2"/>
  <c r="V65" i="2"/>
  <c r="AI65" i="2"/>
  <c r="M65" i="2"/>
  <c r="AH65" i="2"/>
  <c r="AG65" i="2"/>
  <c r="AL65" i="2"/>
  <c r="W65" i="2"/>
  <c r="L65" i="2"/>
  <c r="X65" i="2"/>
  <c r="U65" i="2"/>
  <c r="O65" i="2"/>
  <c r="AF65" i="2"/>
  <c r="AA65" i="2"/>
  <c r="AM65" i="2"/>
  <c r="S65" i="2"/>
  <c r="G65" i="2"/>
  <c r="Q65" i="2"/>
  <c r="AB65" i="2"/>
  <c r="AC65" i="2"/>
  <c r="P65" i="2"/>
  <c r="AJ65" i="2"/>
  <c r="R65" i="2"/>
  <c r="AB68" i="2"/>
  <c r="AG68" i="2"/>
  <c r="U68" i="2"/>
  <c r="K68" i="2"/>
  <c r="AL68" i="2"/>
  <c r="H68" i="2"/>
  <c r="Y68" i="2"/>
  <c r="AA68" i="2"/>
  <c r="V68" i="2"/>
  <c r="P68" i="2"/>
  <c r="AI68" i="2"/>
  <c r="AF68" i="2"/>
  <c r="W68" i="2"/>
  <c r="J68" i="2"/>
  <c r="I68" i="2"/>
  <c r="Q68" i="2"/>
  <c r="AP68" i="2"/>
  <c r="AH68" i="2"/>
  <c r="R68" i="2"/>
  <c r="AD68" i="2"/>
  <c r="AE68" i="2"/>
  <c r="AM68" i="2"/>
  <c r="G68" i="2"/>
  <c r="M68" i="2"/>
  <c r="AK68" i="2"/>
  <c r="T68" i="2"/>
  <c r="N68" i="2"/>
  <c r="X68" i="2"/>
  <c r="O68" i="2"/>
  <c r="Z68" i="2"/>
  <c r="AC68" i="2"/>
  <c r="S68" i="2"/>
  <c r="L68" i="2"/>
  <c r="AJ68" i="2"/>
  <c r="L91" i="2"/>
  <c r="AG91" i="2"/>
  <c r="AE91" i="2"/>
  <c r="U91" i="2"/>
  <c r="AK91" i="2"/>
  <c r="M91" i="2"/>
  <c r="AL91" i="2"/>
  <c r="AF91" i="2"/>
  <c r="Q91" i="2"/>
  <c r="AJ91" i="2"/>
  <c r="T91" i="2"/>
  <c r="P91" i="2"/>
  <c r="V91" i="2"/>
  <c r="G91" i="2"/>
  <c r="S91" i="2"/>
  <c r="O91" i="2"/>
  <c r="AI91" i="2"/>
  <c r="AM91" i="2"/>
  <c r="AD91" i="2"/>
  <c r="J91" i="2"/>
  <c r="AA91" i="2"/>
  <c r="W91" i="2"/>
  <c r="AC91" i="2"/>
  <c r="R91" i="2"/>
  <c r="H91" i="2"/>
  <c r="N91" i="2"/>
  <c r="K91" i="2"/>
  <c r="AP91" i="2"/>
  <c r="Y91" i="2"/>
  <c r="AB91" i="2"/>
  <c r="I91" i="2"/>
  <c r="AH91" i="2"/>
  <c r="X91" i="2"/>
  <c r="Z91" i="2"/>
  <c r="J53" i="2"/>
  <c r="N53" i="2"/>
  <c r="AA53" i="2"/>
  <c r="P53" i="2"/>
  <c r="U53" i="2"/>
  <c r="M53" i="2"/>
  <c r="V53" i="2"/>
  <c r="AB53" i="2"/>
  <c r="AM53" i="2"/>
  <c r="AF53" i="2"/>
  <c r="Y53" i="2"/>
  <c r="T53" i="2"/>
  <c r="AD53" i="2"/>
  <c r="AJ53" i="2"/>
  <c r="L53" i="2"/>
  <c r="Z53" i="2"/>
  <c r="K53" i="2"/>
  <c r="O53" i="2"/>
  <c r="W53" i="2"/>
  <c r="AC53" i="2"/>
  <c r="AG53" i="2"/>
  <c r="AK53" i="2"/>
  <c r="AI53" i="2"/>
  <c r="R53" i="2"/>
  <c r="AE53" i="2"/>
  <c r="Q53" i="2"/>
  <c r="G53" i="2"/>
  <c r="X53" i="2"/>
  <c r="H53" i="2"/>
  <c r="I53" i="2"/>
  <c r="S53" i="2"/>
  <c r="AP53" i="2"/>
  <c r="AL53" i="2"/>
  <c r="AH53" i="2"/>
  <c r="L32" i="2"/>
  <c r="H32" i="2"/>
  <c r="J32" i="2"/>
  <c r="M32" i="2"/>
  <c r="I32" i="2"/>
  <c r="AL32" i="2"/>
  <c r="V32" i="2"/>
  <c r="N32" i="2"/>
  <c r="X32" i="2"/>
  <c r="W32" i="2"/>
  <c r="S32" i="2"/>
  <c r="T32" i="2"/>
  <c r="AK32" i="2"/>
  <c r="Q32" i="2"/>
  <c r="AC32" i="2"/>
  <c r="Y32" i="2"/>
  <c r="AJ32" i="2"/>
  <c r="AA32" i="2"/>
  <c r="AI32" i="2"/>
  <c r="Z32" i="2"/>
  <c r="AB32" i="2"/>
  <c r="O32" i="2"/>
  <c r="AG32" i="2"/>
  <c r="AH32" i="2"/>
  <c r="K32" i="2"/>
  <c r="AD32" i="2"/>
  <c r="G32" i="2"/>
  <c r="AE32" i="2"/>
  <c r="R32" i="2"/>
  <c r="P32" i="2"/>
  <c r="AM32" i="2"/>
  <c r="AF32" i="2"/>
  <c r="U32" i="2"/>
  <c r="AB92" i="2"/>
  <c r="M92" i="2"/>
  <c r="S92" i="2"/>
  <c r="T92" i="2"/>
  <c r="AA92" i="2"/>
  <c r="AM92" i="2"/>
  <c r="AE92" i="2"/>
  <c r="AH92" i="2"/>
  <c r="Y92" i="2"/>
  <c r="AC92" i="2"/>
  <c r="AD92" i="2"/>
  <c r="G92" i="2"/>
  <c r="H92" i="2"/>
  <c r="AL92" i="2"/>
  <c r="P92" i="2"/>
  <c r="AI92" i="2"/>
  <c r="X92" i="2"/>
  <c r="O92" i="2"/>
  <c r="U92" i="2"/>
  <c r="J92" i="2"/>
  <c r="Q92" i="2"/>
  <c r="I92" i="2"/>
  <c r="R92" i="2"/>
  <c r="AJ92" i="2"/>
  <c r="N92" i="2"/>
  <c r="K92" i="2"/>
  <c r="L92" i="2"/>
  <c r="W92" i="2"/>
  <c r="AF92" i="2"/>
  <c r="AK92" i="2"/>
  <c r="Z92" i="2"/>
  <c r="AP92" i="2"/>
  <c r="V92" i="2"/>
  <c r="AG92" i="2"/>
  <c r="AG54" i="2"/>
  <c r="R54" i="2"/>
  <c r="J54" i="2"/>
  <c r="AJ54" i="2"/>
  <c r="O54" i="2"/>
  <c r="U54" i="2"/>
  <c r="W54" i="2"/>
  <c r="AB54" i="2"/>
  <c r="AD54" i="2"/>
  <c r="I54" i="2"/>
  <c r="AF54" i="2"/>
  <c r="Q54" i="2"/>
  <c r="AP54" i="2"/>
  <c r="N54" i="2"/>
  <c r="S54" i="2"/>
  <c r="AI54" i="2"/>
  <c r="X54" i="2"/>
  <c r="AL54" i="2"/>
  <c r="L54" i="2"/>
  <c r="AM54" i="2"/>
  <c r="V54" i="2"/>
  <c r="P54" i="2"/>
  <c r="Z54" i="2"/>
  <c r="M54" i="2"/>
  <c r="G54" i="2"/>
  <c r="H54" i="2"/>
  <c r="K54" i="2"/>
  <c r="AK54" i="2"/>
  <c r="AA54" i="2"/>
  <c r="Y54" i="2"/>
  <c r="T54" i="2"/>
  <c r="AC54" i="2"/>
  <c r="AE54" i="2"/>
  <c r="AH54" i="2"/>
  <c r="K56" i="2"/>
  <c r="AI56" i="2"/>
  <c r="P56" i="2"/>
  <c r="R56" i="2"/>
  <c r="AL56" i="2"/>
  <c r="AC56" i="2"/>
  <c r="AB56" i="2"/>
  <c r="I56" i="2"/>
  <c r="T56" i="2"/>
  <c r="V56" i="2"/>
  <c r="AK56" i="2"/>
  <c r="H56" i="2"/>
  <c r="AE56" i="2"/>
  <c r="N56" i="2"/>
  <c r="Q56" i="2"/>
  <c r="AF56" i="2"/>
  <c r="J56" i="2"/>
  <c r="S56" i="2"/>
  <c r="AA56" i="2"/>
  <c r="AM56" i="2"/>
  <c r="X56" i="2"/>
  <c r="Y56" i="2"/>
  <c r="L56" i="2"/>
  <c r="G56" i="2"/>
  <c r="O56" i="2"/>
  <c r="AD56" i="2"/>
  <c r="AG56" i="2"/>
  <c r="W56" i="2"/>
  <c r="AP56" i="2"/>
  <c r="U56" i="2"/>
  <c r="Z56" i="2"/>
  <c r="M56" i="2"/>
  <c r="AJ56" i="2"/>
  <c r="AH56" i="2"/>
  <c r="H52" i="2"/>
  <c r="AA52" i="2"/>
  <c r="V52" i="2"/>
  <c r="AK52" i="2"/>
  <c r="S52" i="2"/>
  <c r="Y52" i="2"/>
  <c r="Z52" i="2"/>
  <c r="AG52" i="2"/>
  <c r="AM52" i="2"/>
  <c r="M52" i="2"/>
  <c r="K52" i="2"/>
  <c r="G52" i="2"/>
  <c r="Q52" i="2"/>
  <c r="I52" i="2"/>
  <c r="AF52" i="2"/>
  <c r="AE52" i="2"/>
  <c r="AH52" i="2"/>
  <c r="P52" i="2"/>
  <c r="AP52" i="2"/>
  <c r="R52" i="2"/>
  <c r="J52" i="2"/>
  <c r="W52" i="2"/>
  <c r="AB52" i="2"/>
  <c r="X52" i="2"/>
  <c r="AI52" i="2"/>
  <c r="L52" i="2"/>
  <c r="N52" i="2"/>
  <c r="U52" i="2"/>
  <c r="O52" i="2"/>
  <c r="AL52" i="2"/>
  <c r="T52" i="2"/>
  <c r="AJ52" i="2"/>
  <c r="AD52" i="2"/>
  <c r="AC52" i="2"/>
  <c r="R97" i="2"/>
  <c r="X97" i="2"/>
  <c r="U97" i="2"/>
  <c r="AI97" i="2"/>
  <c r="H97" i="2"/>
  <c r="AF97" i="2"/>
  <c r="AD97" i="2"/>
  <c r="V97" i="2"/>
  <c r="AP97" i="2"/>
  <c r="N97" i="2"/>
  <c r="AM97" i="2"/>
  <c r="M97" i="2"/>
  <c r="AL97" i="2"/>
  <c r="AA97" i="2"/>
  <c r="T97" i="2"/>
  <c r="AG97" i="2"/>
  <c r="Z97" i="2"/>
  <c r="Y97" i="2"/>
  <c r="G97" i="2"/>
  <c r="AJ97" i="2"/>
  <c r="S97" i="2"/>
  <c r="J97" i="2"/>
  <c r="L97" i="2"/>
  <c r="Q97" i="2"/>
  <c r="W97" i="2"/>
  <c r="AK97" i="2"/>
  <c r="AH97" i="2"/>
  <c r="O97" i="2"/>
  <c r="I97" i="2"/>
  <c r="P97" i="2"/>
  <c r="AC97" i="2"/>
  <c r="AB97" i="2"/>
  <c r="K97" i="2"/>
  <c r="AE97" i="2"/>
  <c r="AE37" i="2"/>
  <c r="AB37" i="2"/>
  <c r="Y37" i="2"/>
  <c r="AL37" i="2"/>
  <c r="O37" i="2"/>
  <c r="M37" i="2"/>
  <c r="J37" i="2"/>
  <c r="K37" i="2"/>
  <c r="AI37" i="2"/>
  <c r="S37" i="2"/>
  <c r="I37" i="2"/>
  <c r="AK37" i="2"/>
  <c r="AP37" i="2"/>
  <c r="W37" i="2"/>
  <c r="AM37" i="2"/>
  <c r="H37" i="2"/>
  <c r="R37" i="2"/>
  <c r="Q37" i="2"/>
  <c r="V37" i="2"/>
  <c r="AF37" i="2"/>
  <c r="T37" i="2"/>
  <c r="AD37" i="2"/>
  <c r="X37" i="2"/>
  <c r="AJ37" i="2"/>
  <c r="AH37" i="2"/>
  <c r="G37" i="2"/>
  <c r="U37" i="2"/>
  <c r="P37" i="2"/>
  <c r="AA37" i="2"/>
  <c r="AG37" i="2"/>
  <c r="L37" i="2"/>
  <c r="AC37" i="2"/>
  <c r="N37" i="2"/>
  <c r="Z37" i="2"/>
  <c r="J59" i="2"/>
  <c r="H59" i="2"/>
  <c r="AC59" i="2"/>
  <c r="W59" i="2"/>
  <c r="AK59" i="2"/>
  <c r="AE59" i="2"/>
  <c r="O59" i="2"/>
  <c r="N59" i="2"/>
  <c r="T59" i="2"/>
  <c r="AM59" i="2"/>
  <c r="AB59" i="2"/>
  <c r="AA59" i="2"/>
  <c r="AG59" i="2"/>
  <c r="AH59" i="2"/>
  <c r="P59" i="2"/>
  <c r="AJ59" i="2"/>
  <c r="Q59" i="2"/>
  <c r="AP59" i="2"/>
  <c r="U59" i="2"/>
  <c r="G59" i="2"/>
  <c r="Z59" i="2"/>
  <c r="X59" i="2"/>
  <c r="L59" i="2"/>
  <c r="M59" i="2"/>
  <c r="V59" i="2"/>
  <c r="I59" i="2"/>
  <c r="Y59" i="2"/>
  <c r="AL59" i="2"/>
  <c r="K59" i="2"/>
  <c r="R59" i="2"/>
  <c r="AI59" i="2"/>
  <c r="S59" i="2"/>
  <c r="AF59" i="2"/>
  <c r="AD59" i="2"/>
  <c r="Q41" i="2"/>
  <c r="J41" i="2"/>
  <c r="AA41" i="2"/>
  <c r="G41" i="2"/>
  <c r="AF41" i="2"/>
  <c r="I41" i="2"/>
  <c r="N41" i="2"/>
  <c r="AK41" i="2"/>
  <c r="T41" i="2"/>
  <c r="AD41" i="2"/>
  <c r="L41" i="2"/>
  <c r="W41" i="2"/>
  <c r="U41" i="2"/>
  <c r="O41" i="2"/>
  <c r="Z41" i="2"/>
  <c r="AE41" i="2"/>
  <c r="AI41" i="2"/>
  <c r="P41" i="2"/>
  <c r="AM41" i="2"/>
  <c r="V41" i="2"/>
  <c r="X41" i="2"/>
  <c r="AP41" i="2"/>
  <c r="M41" i="2"/>
  <c r="K41" i="2"/>
  <c r="AJ41" i="2"/>
  <c r="Y41" i="2"/>
  <c r="AL41" i="2"/>
  <c r="AB41" i="2"/>
  <c r="R41" i="2"/>
  <c r="AG41" i="2"/>
  <c r="S41" i="2"/>
  <c r="H41" i="2"/>
  <c r="AC41" i="2"/>
  <c r="AH41" i="2"/>
  <c r="AB51" i="2"/>
  <c r="K51" i="2"/>
  <c r="R51" i="2"/>
  <c r="AJ51" i="2"/>
  <c r="Z51" i="2"/>
  <c r="I51" i="2"/>
  <c r="Y51" i="2"/>
  <c r="AP51" i="2"/>
  <c r="V51" i="2"/>
  <c r="O51" i="2"/>
  <c r="AA51" i="2"/>
  <c r="N51" i="2"/>
  <c r="AC51" i="2"/>
  <c r="AK51" i="2"/>
  <c r="J51" i="2"/>
  <c r="AM51" i="2"/>
  <c r="AD51" i="2"/>
  <c r="T51" i="2"/>
  <c r="Q51" i="2"/>
  <c r="U51" i="2"/>
  <c r="AL51" i="2"/>
  <c r="AH51" i="2"/>
  <c r="X51" i="2"/>
  <c r="S51" i="2"/>
  <c r="G51" i="2"/>
  <c r="AG51" i="2"/>
  <c r="M51" i="2"/>
  <c r="AF51" i="2"/>
  <c r="H51" i="2"/>
  <c r="W51" i="2"/>
  <c r="AI51" i="2"/>
  <c r="P51" i="2"/>
  <c r="L51" i="2"/>
  <c r="AE51" i="2"/>
  <c r="AC69" i="2"/>
  <c r="AB69" i="2"/>
  <c r="Q69" i="2"/>
  <c r="G69" i="2"/>
  <c r="AJ69" i="2"/>
  <c r="AE69" i="2"/>
  <c r="R69" i="2"/>
  <c r="U69" i="2"/>
  <c r="AH69" i="2"/>
  <c r="I69" i="2"/>
  <c r="J69" i="2"/>
  <c r="N69" i="2"/>
  <c r="W69" i="2"/>
  <c r="H69" i="2"/>
  <c r="Y69" i="2"/>
  <c r="AM69" i="2"/>
  <c r="AI69" i="2"/>
  <c r="Z69" i="2"/>
  <c r="AL69" i="2"/>
  <c r="X69" i="2"/>
  <c r="M69" i="2"/>
  <c r="V69" i="2"/>
  <c r="P69" i="2"/>
  <c r="AK69" i="2"/>
  <c r="AF69" i="2"/>
  <c r="K69" i="2"/>
  <c r="L69" i="2"/>
  <c r="AP69" i="2"/>
  <c r="AD69" i="2"/>
  <c r="AA69" i="2"/>
  <c r="O69" i="2"/>
  <c r="S69" i="2"/>
  <c r="T69" i="2"/>
  <c r="AG69" i="2"/>
  <c r="AG82" i="2"/>
  <c r="O82" i="2"/>
  <c r="L82" i="2"/>
  <c r="R82" i="2"/>
  <c r="AL82" i="2"/>
  <c r="AJ82" i="2"/>
  <c r="AD82" i="2"/>
  <c r="AP82" i="2"/>
  <c r="W82" i="2"/>
  <c r="AF82" i="2"/>
  <c r="AK82" i="2"/>
  <c r="T82" i="2"/>
  <c r="V82" i="2"/>
  <c r="AA82" i="2"/>
  <c r="J82" i="2"/>
  <c r="G82" i="2"/>
  <c r="AC82" i="2"/>
  <c r="N82" i="2"/>
  <c r="I82" i="2"/>
  <c r="S82" i="2"/>
  <c r="P82" i="2"/>
  <c r="AH82" i="2"/>
  <c r="U82" i="2"/>
  <c r="H82" i="2"/>
  <c r="Q82" i="2"/>
  <c r="X82" i="2"/>
  <c r="AI82" i="2"/>
  <c r="M82" i="2"/>
  <c r="AM82" i="2"/>
  <c r="Z82" i="2"/>
  <c r="K82" i="2"/>
  <c r="AE82" i="2"/>
  <c r="AB82" i="2"/>
  <c r="Y82" i="2"/>
  <c r="J84" i="2"/>
  <c r="W84" i="2"/>
  <c r="AP84" i="2"/>
  <c r="AD84" i="2"/>
  <c r="AK84" i="2"/>
  <c r="M84" i="2"/>
  <c r="H84" i="2"/>
  <c r="G84" i="2"/>
  <c r="O84" i="2"/>
  <c r="T84" i="2"/>
  <c r="AC84" i="2"/>
  <c r="AA84" i="2"/>
  <c r="V84" i="2"/>
  <c r="L84" i="2"/>
  <c r="AM84" i="2"/>
  <c r="AF84" i="2"/>
  <c r="S84" i="2"/>
  <c r="P84" i="2"/>
  <c r="AH84" i="2"/>
  <c r="U84" i="2"/>
  <c r="Z84" i="2"/>
  <c r="K84" i="2"/>
  <c r="AE84" i="2"/>
  <c r="R84" i="2"/>
  <c r="X84" i="2"/>
  <c r="AG84" i="2"/>
  <c r="AL84" i="2"/>
  <c r="I84" i="2"/>
  <c r="Q84" i="2"/>
  <c r="Y84" i="2"/>
  <c r="AI84" i="2"/>
  <c r="N84" i="2"/>
  <c r="AJ84" i="2"/>
  <c r="AB84" i="2"/>
  <c r="O95" i="2"/>
  <c r="I95" i="2"/>
  <c r="AP95" i="2"/>
  <c r="T95" i="2"/>
  <c r="U95" i="2"/>
  <c r="J95" i="2"/>
  <c r="AI95" i="2"/>
  <c r="G95" i="2"/>
  <c r="AE95" i="2"/>
  <c r="AA95" i="2"/>
  <c r="AB95" i="2"/>
  <c r="Q95" i="2"/>
  <c r="AJ95" i="2"/>
  <c r="Y95" i="2"/>
  <c r="K95" i="2"/>
  <c r="Z95" i="2"/>
  <c r="X95" i="2"/>
  <c r="R95" i="2"/>
  <c r="AC95" i="2"/>
  <c r="L95" i="2"/>
  <c r="M95" i="2"/>
  <c r="AH95" i="2"/>
  <c r="V95" i="2"/>
  <c r="W95" i="2"/>
  <c r="S95" i="2"/>
  <c r="AD95" i="2"/>
  <c r="AG95" i="2"/>
  <c r="AF95" i="2"/>
  <c r="P95" i="2"/>
  <c r="H95" i="2"/>
  <c r="AK95" i="2"/>
  <c r="N95" i="2"/>
  <c r="AL95" i="2"/>
  <c r="AM95" i="2"/>
  <c r="AB61" i="2"/>
  <c r="AP61" i="2"/>
  <c r="AE61" i="2"/>
  <c r="T61" i="2"/>
  <c r="AF61" i="2"/>
  <c r="AL61" i="2"/>
  <c r="X61" i="2"/>
  <c r="AK61" i="2"/>
  <c r="O61" i="2"/>
  <c r="AD61" i="2"/>
  <c r="N61" i="2"/>
  <c r="Q61" i="2"/>
  <c r="R61" i="2"/>
  <c r="AM61" i="2"/>
  <c r="S61" i="2"/>
  <c r="AG61" i="2"/>
  <c r="AH61" i="2"/>
  <c r="AJ61" i="2"/>
  <c r="K61" i="2"/>
  <c r="P61" i="2"/>
  <c r="L61" i="2"/>
  <c r="Y61" i="2"/>
  <c r="Z61" i="2"/>
  <c r="V61" i="2"/>
  <c r="J61" i="2"/>
  <c r="I61" i="2"/>
  <c r="M61" i="2"/>
  <c r="U61" i="2"/>
  <c r="G61" i="2"/>
  <c r="AA61" i="2"/>
  <c r="H61" i="2"/>
  <c r="AI61" i="2"/>
  <c r="AC61" i="2"/>
  <c r="W61" i="2"/>
  <c r="J49" i="2"/>
  <c r="AH49" i="2"/>
  <c r="AI49" i="2"/>
  <c r="Z49" i="2"/>
  <c r="T49" i="2"/>
  <c r="S49" i="2"/>
  <c r="K49" i="2"/>
  <c r="AD49" i="2"/>
  <c r="R49" i="2"/>
  <c r="Y49" i="2"/>
  <c r="M49" i="2"/>
  <c r="AL49" i="2"/>
  <c r="AA49" i="2"/>
  <c r="AF49" i="2"/>
  <c r="AB49" i="2"/>
  <c r="Q49" i="2"/>
  <c r="AJ49" i="2"/>
  <c r="AM49" i="2"/>
  <c r="G49" i="2"/>
  <c r="U49" i="2"/>
  <c r="O49" i="2"/>
  <c r="L49" i="2"/>
  <c r="X49" i="2"/>
  <c r="H49" i="2"/>
  <c r="I49" i="2"/>
  <c r="AE49" i="2"/>
  <c r="P49" i="2"/>
  <c r="AP49" i="2"/>
  <c r="W49" i="2"/>
  <c r="N49" i="2"/>
  <c r="AG49" i="2"/>
  <c r="AC49" i="2"/>
  <c r="AK49" i="2"/>
  <c r="V49" i="2"/>
  <c r="Z44" i="2"/>
  <c r="AB44" i="2"/>
  <c r="U44" i="2"/>
  <c r="AD44" i="2"/>
  <c r="I44" i="2"/>
  <c r="AG44" i="2"/>
  <c r="AJ44" i="2"/>
  <c r="M44" i="2"/>
  <c r="N44" i="2"/>
  <c r="K44" i="2"/>
  <c r="AE44" i="2"/>
  <c r="S44" i="2"/>
  <c r="J44" i="2"/>
  <c r="AK44" i="2"/>
  <c r="W44" i="2"/>
  <c r="AH44" i="2"/>
  <c r="P44" i="2"/>
  <c r="AA44" i="2"/>
  <c r="AF44" i="2"/>
  <c r="R44" i="2"/>
  <c r="G44" i="2"/>
  <c r="O44" i="2"/>
  <c r="H44" i="2"/>
  <c r="AP44" i="2"/>
  <c r="X44" i="2"/>
  <c r="AC44" i="2"/>
  <c r="Y44" i="2"/>
  <c r="L44" i="2"/>
  <c r="V44" i="2"/>
  <c r="Q44" i="2"/>
  <c r="AL44" i="2"/>
  <c r="T44" i="2"/>
  <c r="AM44" i="2"/>
  <c r="AI44" i="2"/>
  <c r="K58" i="2"/>
  <c r="AL58" i="2"/>
  <c r="AD58" i="2"/>
  <c r="M58" i="2"/>
  <c r="AC58" i="2"/>
  <c r="Y58" i="2"/>
  <c r="U58" i="2"/>
  <c r="H58" i="2"/>
  <c r="P58" i="2"/>
  <c r="S58" i="2"/>
  <c r="AM58" i="2"/>
  <c r="T58" i="2"/>
  <c r="I58" i="2"/>
  <c r="AG58" i="2"/>
  <c r="J58" i="2"/>
  <c r="AA58" i="2"/>
  <c r="R58" i="2"/>
  <c r="X58" i="2"/>
  <c r="AI58" i="2"/>
  <c r="AB58" i="2"/>
  <c r="AE58" i="2"/>
  <c r="V58" i="2"/>
  <c r="N58" i="2"/>
  <c r="AF58" i="2"/>
  <c r="AJ58" i="2"/>
  <c r="Q58" i="2"/>
  <c r="G58" i="2"/>
  <c r="W58" i="2"/>
  <c r="AP58" i="2"/>
  <c r="AH58" i="2"/>
  <c r="L58" i="2"/>
  <c r="AK58" i="2"/>
  <c r="Z58" i="2"/>
  <c r="O58" i="2"/>
  <c r="R85" i="2"/>
  <c r="AE85" i="2"/>
  <c r="P85" i="2"/>
  <c r="AI85" i="2"/>
  <c r="L85" i="2"/>
  <c r="AC85" i="2"/>
  <c r="AL85" i="2"/>
  <c r="Y85" i="2"/>
  <c r="AG85" i="2"/>
  <c r="AF85" i="2"/>
  <c r="X85" i="2"/>
  <c r="M85" i="2"/>
  <c r="I85" i="2"/>
  <c r="AK85" i="2"/>
  <c r="AB85" i="2"/>
  <c r="U85" i="2"/>
  <c r="AJ85" i="2"/>
  <c r="O85" i="2"/>
  <c r="K85" i="2"/>
  <c r="H85" i="2"/>
  <c r="AA85" i="2"/>
  <c r="T85" i="2"/>
  <c r="N85" i="2"/>
  <c r="AM85" i="2"/>
  <c r="AD85" i="2"/>
  <c r="J85" i="2"/>
  <c r="W85" i="2"/>
  <c r="V85" i="2"/>
  <c r="AP85" i="2"/>
  <c r="G85" i="2"/>
  <c r="Q85" i="2"/>
  <c r="Z85" i="2"/>
  <c r="S85" i="2"/>
  <c r="AH85" i="2"/>
  <c r="AI46" i="2"/>
  <c r="Q46" i="2"/>
  <c r="AK46" i="2"/>
  <c r="AB46" i="2"/>
  <c r="G46" i="2"/>
  <c r="W46" i="2"/>
  <c r="P46" i="2"/>
  <c r="AF46" i="2"/>
  <c r="AJ46" i="2"/>
  <c r="AD46" i="2"/>
  <c r="X46" i="2"/>
  <c r="V46" i="2"/>
  <c r="AA46" i="2"/>
  <c r="T46" i="2"/>
  <c r="AE46" i="2"/>
  <c r="AL46" i="2"/>
  <c r="K46" i="2"/>
  <c r="Z46" i="2"/>
  <c r="U46" i="2"/>
  <c r="M46" i="2"/>
  <c r="L46" i="2"/>
  <c r="AH46" i="2"/>
  <c r="J46" i="2"/>
  <c r="AM46" i="2"/>
  <c r="AP46" i="2"/>
  <c r="R46" i="2"/>
  <c r="Y46" i="2"/>
  <c r="N46" i="2"/>
  <c r="AG46" i="2"/>
  <c r="H46" i="2"/>
  <c r="O46" i="2"/>
  <c r="S46" i="2"/>
  <c r="AC46" i="2"/>
  <c r="I46" i="2"/>
  <c r="L89" i="2"/>
  <c r="I89" i="2"/>
  <c r="W89" i="2"/>
  <c r="G89" i="2"/>
  <c r="R89" i="2"/>
  <c r="AJ89" i="2"/>
  <c r="S89" i="2"/>
  <c r="Q89" i="2"/>
  <c r="M89" i="2"/>
  <c r="AE89" i="2"/>
  <c r="AF89" i="2"/>
  <c r="K89" i="2"/>
  <c r="Y89" i="2"/>
  <c r="U89" i="2"/>
  <c r="AI89" i="2"/>
  <c r="P89" i="2"/>
  <c r="V89" i="2"/>
  <c r="X89" i="2"/>
  <c r="H89" i="2"/>
  <c r="Z89" i="2"/>
  <c r="O89" i="2"/>
  <c r="AK89" i="2"/>
  <c r="AC89" i="2"/>
  <c r="AA89" i="2"/>
  <c r="AB89" i="2"/>
  <c r="AG89" i="2"/>
  <c r="T89" i="2"/>
  <c r="AH89" i="2"/>
  <c r="AP89" i="2"/>
  <c r="J89" i="2"/>
  <c r="AL89" i="2"/>
  <c r="AD89" i="2"/>
  <c r="N89" i="2"/>
  <c r="AM89" i="2"/>
  <c r="I83" i="2"/>
  <c r="AB83" i="2"/>
  <c r="AJ83" i="2"/>
  <c r="H83" i="2"/>
  <c r="AG83" i="2"/>
  <c r="M83" i="2"/>
  <c r="R83" i="2"/>
  <c r="AP83" i="2"/>
  <c r="Y83" i="2"/>
  <c r="L83" i="2"/>
  <c r="Q83" i="2"/>
  <c r="P83" i="2"/>
  <c r="AK83" i="2"/>
  <c r="AL83" i="2"/>
  <c r="AD83" i="2"/>
  <c r="S83" i="2"/>
  <c r="O83" i="2"/>
  <c r="G83" i="2"/>
  <c r="AE83" i="2"/>
  <c r="J83" i="2"/>
  <c r="U83" i="2"/>
  <c r="AM83" i="2"/>
  <c r="AH83" i="2"/>
  <c r="W83" i="2"/>
  <c r="AA83" i="2"/>
  <c r="AF83" i="2"/>
  <c r="AI83" i="2"/>
  <c r="V83" i="2"/>
  <c r="AC83" i="2"/>
  <c r="X83" i="2"/>
  <c r="Z83" i="2"/>
  <c r="T83" i="2"/>
  <c r="K83" i="2"/>
  <c r="N83" i="2"/>
  <c r="P45" i="2"/>
  <c r="K45" i="2"/>
  <c r="AE45" i="2"/>
  <c r="AA45" i="2"/>
  <c r="O45" i="2"/>
  <c r="AL45" i="2"/>
  <c r="AH45" i="2"/>
  <c r="AJ45" i="2"/>
  <c r="R45" i="2"/>
  <c r="M45" i="2"/>
  <c r="G45" i="2"/>
  <c r="AD45" i="2"/>
  <c r="AK45" i="2"/>
  <c r="S45" i="2"/>
  <c r="X45" i="2"/>
  <c r="AP45" i="2"/>
  <c r="U45" i="2"/>
  <c r="L45" i="2"/>
  <c r="H45" i="2"/>
  <c r="Z45" i="2"/>
  <c r="T45" i="2"/>
  <c r="V45" i="2"/>
  <c r="Q45" i="2"/>
  <c r="AM45" i="2"/>
  <c r="I45" i="2"/>
  <c r="AF45" i="2"/>
  <c r="AI45" i="2"/>
  <c r="AB45" i="2"/>
  <c r="Y45" i="2"/>
  <c r="W45" i="2"/>
  <c r="AC45" i="2"/>
  <c r="J45" i="2"/>
  <c r="AG45" i="2"/>
  <c r="N45" i="2"/>
  <c r="N96" i="2"/>
  <c r="AJ96" i="2"/>
  <c r="R96" i="2"/>
  <c r="Y96" i="2"/>
  <c r="AF96" i="2"/>
  <c r="AH96" i="2"/>
  <c r="AD96" i="2"/>
  <c r="Q96" i="2"/>
  <c r="X96" i="2"/>
  <c r="L96" i="2"/>
  <c r="G96" i="2"/>
  <c r="U96" i="2"/>
  <c r="M96" i="2"/>
  <c r="AB96" i="2"/>
  <c r="AA96" i="2"/>
  <c r="AG96" i="2"/>
  <c r="T96" i="2"/>
  <c r="AP96" i="2"/>
  <c r="AL96" i="2"/>
  <c r="P96" i="2"/>
  <c r="O96" i="2"/>
  <c r="H96" i="2"/>
  <c r="Z96" i="2"/>
  <c r="AI96" i="2"/>
  <c r="W96" i="2"/>
  <c r="V96" i="2"/>
  <c r="AC96" i="2"/>
  <c r="AM96" i="2"/>
  <c r="I96" i="2"/>
  <c r="AE96" i="2"/>
  <c r="AK96" i="2"/>
  <c r="K96" i="2"/>
  <c r="S96" i="2"/>
  <c r="J96" i="2"/>
  <c r="G81" i="2"/>
  <c r="H81" i="2"/>
  <c r="K81" i="2"/>
  <c r="S81" i="2"/>
  <c r="V81" i="2"/>
  <c r="U81" i="2"/>
  <c r="AE81" i="2"/>
  <c r="X81" i="2"/>
  <c r="W81" i="2"/>
  <c r="AF81" i="2"/>
  <c r="AP81" i="2"/>
  <c r="Y81" i="2"/>
  <c r="AH81" i="2"/>
  <c r="AL81" i="2"/>
  <c r="Q81" i="2"/>
  <c r="AJ81" i="2"/>
  <c r="AC81" i="2"/>
  <c r="AD81" i="2"/>
  <c r="AA81" i="2"/>
  <c r="N81" i="2"/>
  <c r="R81" i="2"/>
  <c r="AI81" i="2"/>
  <c r="AM81" i="2"/>
  <c r="AK81" i="2"/>
  <c r="M81" i="2"/>
  <c r="I81" i="2"/>
  <c r="J81" i="2"/>
  <c r="AB81" i="2"/>
  <c r="AG81" i="2"/>
  <c r="T81" i="2"/>
  <c r="P81" i="2"/>
  <c r="Z81" i="2"/>
  <c r="L81" i="2"/>
  <c r="O81" i="2"/>
  <c r="AH30" i="2"/>
  <c r="P30" i="2"/>
  <c r="AK30" i="2"/>
  <c r="Z30" i="2"/>
  <c r="AI30" i="2"/>
  <c r="AE30" i="2"/>
  <c r="AB30" i="2"/>
  <c r="J30" i="2"/>
  <c r="AH31" i="2"/>
  <c r="S30" i="2"/>
  <c r="AD30" i="2"/>
  <c r="AL30" i="2"/>
  <c r="Y30" i="2"/>
  <c r="AA30" i="2"/>
  <c r="AC30" i="2"/>
  <c r="O30" i="2"/>
  <c r="O31" i="2"/>
  <c r="V30" i="2"/>
  <c r="L30" i="2"/>
  <c r="AM30" i="2"/>
  <c r="AB31" i="2"/>
  <c r="AJ30" i="2"/>
  <c r="AF30" i="2"/>
  <c r="Q30" i="2"/>
  <c r="W31" i="2"/>
  <c r="U30" i="2"/>
  <c r="AM31" i="2"/>
  <c r="M30" i="2"/>
  <c r="AG30" i="2"/>
  <c r="X30" i="2"/>
  <c r="AA31" i="2"/>
  <c r="T30" i="2"/>
  <c r="N30" i="2"/>
  <c r="K30" i="2"/>
  <c r="W30" i="2"/>
  <c r="R30" i="2"/>
  <c r="AF35" i="2" l="1"/>
  <c r="AM35" i="2"/>
  <c r="AM29" i="2" s="1"/>
  <c r="AM100" i="2" s="1"/>
  <c r="AM118" i="2" s="1"/>
  <c r="J35" i="2"/>
  <c r="I35" i="2"/>
  <c r="Y35" i="2"/>
  <c r="T31" i="2"/>
  <c r="U31" i="2"/>
  <c r="AL31" i="2"/>
  <c r="AD31" i="2"/>
  <c r="AD29" i="2" s="1"/>
  <c r="AD100" i="2" s="1"/>
  <c r="AD118" i="2" s="1"/>
  <c r="S31" i="2"/>
  <c r="AE31" i="2"/>
  <c r="Z31" i="2"/>
  <c r="V31" i="2"/>
  <c r="Q31" i="2"/>
  <c r="Q29" i="2" s="1"/>
  <c r="Q100" i="2" s="1"/>
  <c r="Q118" i="2" s="1"/>
  <c r="AK31" i="2"/>
  <c r="AI31" i="2"/>
  <c r="L31" i="2"/>
  <c r="R31" i="2"/>
  <c r="R29" i="2" s="1"/>
  <c r="R100" i="2" s="1"/>
  <c r="R118" i="2" s="1"/>
  <c r="Y31" i="2"/>
  <c r="M31" i="2"/>
  <c r="X31" i="2"/>
  <c r="J31" i="2"/>
  <c r="AF31" i="2"/>
  <c r="K31" i="2"/>
  <c r="K29" i="2" s="1"/>
  <c r="K100" i="2" s="1"/>
  <c r="K118" i="2" s="1"/>
  <c r="AC31" i="2"/>
  <c r="P31" i="2"/>
  <c r="AG31" i="2"/>
  <c r="N31" i="2"/>
  <c r="N29" i="2" s="1"/>
  <c r="N100" i="2" s="1"/>
  <c r="N118" i="2" s="1"/>
  <c r="AJ31" i="2"/>
  <c r="AG35" i="2"/>
  <c r="AL35" i="2"/>
  <c r="P35" i="2"/>
  <c r="L35" i="2"/>
  <c r="Z35" i="2"/>
  <c r="AK35" i="2"/>
  <c r="X35" i="2"/>
  <c r="M35" i="2"/>
  <c r="AI35" i="2"/>
  <c r="U35" i="2"/>
  <c r="V35" i="2"/>
  <c r="AH35" i="2"/>
  <c r="AH29" i="2" s="1"/>
  <c r="AH100" i="2" s="1"/>
  <c r="AH118" i="2" s="1"/>
  <c r="G35" i="2"/>
  <c r="AJ35" i="2"/>
  <c r="W35" i="2"/>
  <c r="W29" i="2" s="1"/>
  <c r="W100" i="2" s="1"/>
  <c r="W118" i="2" s="1"/>
  <c r="H35" i="2"/>
  <c r="H29" i="2" s="1"/>
  <c r="H100" i="2" s="1"/>
  <c r="H118" i="2" s="1"/>
  <c r="S35" i="2"/>
  <c r="T35" i="2"/>
  <c r="AE35" i="2"/>
  <c r="AC35" i="2"/>
  <c r="AB35" i="2"/>
  <c r="AB29" i="2" s="1"/>
  <c r="AB100" i="2" s="1"/>
  <c r="AB118" i="2" s="1"/>
  <c r="AP35" i="2"/>
  <c r="G31" i="2"/>
  <c r="I31" i="2"/>
  <c r="D71" i="2"/>
  <c r="D42" i="2"/>
  <c r="F47" i="2"/>
  <c r="F60" i="2"/>
  <c r="E42" i="2"/>
  <c r="D76" i="2"/>
  <c r="AA29" i="2"/>
  <c r="AA100" i="2" s="1"/>
  <c r="AA118" i="2" s="1"/>
  <c r="E95" i="2"/>
  <c r="F84" i="2"/>
  <c r="E41" i="2"/>
  <c r="D52" i="2"/>
  <c r="F73" i="2"/>
  <c r="F77" i="2"/>
  <c r="F48" i="2"/>
  <c r="D43" i="2"/>
  <c r="E40" i="2"/>
  <c r="D34" i="2"/>
  <c r="F43" i="2"/>
  <c r="E51" i="2"/>
  <c r="F50" i="2"/>
  <c r="D45" i="2"/>
  <c r="E89" i="2"/>
  <c r="D46" i="2"/>
  <c r="F58" i="2"/>
  <c r="E44" i="2"/>
  <c r="E61" i="2"/>
  <c r="E32" i="2"/>
  <c r="F65" i="2"/>
  <c r="F72" i="2"/>
  <c r="E34" i="2"/>
  <c r="E64" i="2"/>
  <c r="D57" i="2"/>
  <c r="D48" i="2"/>
  <c r="E38" i="2"/>
  <c r="E80" i="2"/>
  <c r="D40" i="2"/>
  <c r="E33" i="2"/>
  <c r="D39" i="2"/>
  <c r="E60" i="2"/>
  <c r="F81" i="2"/>
  <c r="E81" i="2"/>
  <c r="E82" i="2"/>
  <c r="F69" i="2"/>
  <c r="F41" i="2"/>
  <c r="D37" i="2"/>
  <c r="F56" i="2"/>
  <c r="E72" i="2"/>
  <c r="F36" i="2"/>
  <c r="D63" i="2"/>
  <c r="E63" i="2"/>
  <c r="F33" i="2"/>
  <c r="D74" i="2"/>
  <c r="D55" i="2"/>
  <c r="F78" i="2"/>
  <c r="E46" i="2"/>
  <c r="D32" i="2"/>
  <c r="F30" i="2"/>
  <c r="D81" i="2"/>
  <c r="D96" i="2"/>
  <c r="F85" i="2"/>
  <c r="D44" i="2"/>
  <c r="D49" i="2"/>
  <c r="D61" i="2"/>
  <c r="E68" i="2"/>
  <c r="D65" i="2"/>
  <c r="E48" i="2"/>
  <c r="F98" i="2"/>
  <c r="F40" i="2"/>
  <c r="F63" i="2"/>
  <c r="F70" i="2"/>
  <c r="D94" i="2"/>
  <c r="E50" i="2"/>
  <c r="D78" i="2"/>
  <c r="E37" i="2"/>
  <c r="E96" i="2"/>
  <c r="D83" i="2"/>
  <c r="D89" i="2"/>
  <c r="F95" i="2"/>
  <c r="F51" i="2"/>
  <c r="D41" i="2"/>
  <c r="F59" i="2"/>
  <c r="E59" i="2"/>
  <c r="F91" i="2"/>
  <c r="E65" i="2"/>
  <c r="D77" i="2"/>
  <c r="F57" i="2"/>
  <c r="D36" i="2"/>
  <c r="D67" i="2"/>
  <c r="E62" i="2"/>
  <c r="D87" i="2"/>
  <c r="D80" i="2"/>
  <c r="E74" i="2"/>
  <c r="D66" i="2"/>
  <c r="F66" i="2"/>
  <c r="E30" i="2"/>
  <c r="E45" i="2"/>
  <c r="F37" i="2"/>
  <c r="E92" i="2"/>
  <c r="F34" i="2"/>
  <c r="F90" i="2"/>
  <c r="E93" i="2"/>
  <c r="E79" i="2"/>
  <c r="F38" i="2"/>
  <c r="F55" i="2"/>
  <c r="E83" i="2"/>
  <c r="F89" i="2"/>
  <c r="E58" i="2"/>
  <c r="F61" i="2"/>
  <c r="E54" i="2"/>
  <c r="D92" i="2"/>
  <c r="F68" i="2"/>
  <c r="D90" i="2"/>
  <c r="E98" i="2"/>
  <c r="E87" i="2"/>
  <c r="E86" i="2"/>
  <c r="D86" i="2"/>
  <c r="E55" i="2"/>
  <c r="E76" i="2"/>
  <c r="D30" i="2"/>
  <c r="F44" i="2"/>
  <c r="F82" i="2"/>
  <c r="D97" i="2"/>
  <c r="D54" i="2"/>
  <c r="F53" i="2"/>
  <c r="E73" i="2"/>
  <c r="E57" i="2"/>
  <c r="D38" i="2"/>
  <c r="F62" i="2"/>
  <c r="F74" i="2"/>
  <c r="F39" i="2"/>
  <c r="E39" i="2"/>
  <c r="D75" i="2"/>
  <c r="F42" i="2"/>
  <c r="E47" i="2"/>
  <c r="F46" i="2"/>
  <c r="E85" i="2"/>
  <c r="D84" i="2"/>
  <c r="D69" i="2"/>
  <c r="F92" i="2"/>
  <c r="E53" i="2"/>
  <c r="F64" i="2"/>
  <c r="E99" i="2"/>
  <c r="D79" i="2"/>
  <c r="F79" i="2"/>
  <c r="E36" i="2"/>
  <c r="D98" i="2"/>
  <c r="E67" i="2"/>
  <c r="F80" i="2"/>
  <c r="F71" i="2"/>
  <c r="D47" i="2"/>
  <c r="D60" i="2"/>
  <c r="O29" i="2"/>
  <c r="O100" i="2" s="1"/>
  <c r="O118" i="2" s="1"/>
  <c r="F96" i="2"/>
  <c r="F83" i="2"/>
  <c r="F49" i="2"/>
  <c r="E84" i="2"/>
  <c r="D51" i="2"/>
  <c r="F97" i="2"/>
  <c r="E97" i="2"/>
  <c r="D91" i="2"/>
  <c r="D72" i="2"/>
  <c r="D64" i="2"/>
  <c r="F88" i="2"/>
  <c r="E88" i="2"/>
  <c r="D70" i="2"/>
  <c r="E71" i="2"/>
  <c r="F94" i="2"/>
  <c r="E94" i="2"/>
  <c r="F75" i="2"/>
  <c r="E66" i="2"/>
  <c r="D50" i="2"/>
  <c r="D85" i="2"/>
  <c r="E49" i="2"/>
  <c r="D95" i="2"/>
  <c r="D82" i="2"/>
  <c r="E69" i="2"/>
  <c r="D59" i="2"/>
  <c r="F52" i="2"/>
  <c r="D56" i="2"/>
  <c r="E56" i="2"/>
  <c r="F54" i="2"/>
  <c r="F32" i="2"/>
  <c r="D53" i="2"/>
  <c r="E91" i="2"/>
  <c r="D68" i="2"/>
  <c r="E90" i="2"/>
  <c r="D93" i="2"/>
  <c r="F67" i="2"/>
  <c r="D62" i="2"/>
  <c r="F87" i="2"/>
  <c r="D33" i="2"/>
  <c r="F86" i="2"/>
  <c r="E75" i="2"/>
  <c r="F76" i="2"/>
  <c r="E78" i="2"/>
  <c r="F45" i="2"/>
  <c r="D58" i="2"/>
  <c r="E52" i="2"/>
  <c r="D73" i="2"/>
  <c r="E77" i="2"/>
  <c r="F93" i="2"/>
  <c r="F99" i="2"/>
  <c r="D99" i="2"/>
  <c r="E43" i="2"/>
  <c r="D88" i="2"/>
  <c r="E70" i="2"/>
  <c r="S29" i="2" l="1"/>
  <c r="S100" i="2" s="1"/>
  <c r="S118" i="2" s="1"/>
  <c r="J29" i="2"/>
  <c r="J100" i="2" s="1"/>
  <c r="J118" i="2" s="1"/>
  <c r="AF29" i="2"/>
  <c r="AF100" i="2" s="1"/>
  <c r="AF118" i="2" s="1"/>
  <c r="AI29" i="2"/>
  <c r="AI100" i="2" s="1"/>
  <c r="AI118" i="2" s="1"/>
  <c r="G7" i="14" s="1"/>
  <c r="E7" i="14" s="1"/>
  <c r="AE29" i="2"/>
  <c r="AE100" i="2" s="1"/>
  <c r="AE118" i="2" s="1"/>
  <c r="P29" i="2"/>
  <c r="P100" i="2" s="1"/>
  <c r="P118" i="2" s="1"/>
  <c r="AC29" i="2"/>
  <c r="AC100" i="2" s="1"/>
  <c r="AC118" i="2" s="1"/>
  <c r="Y29" i="2"/>
  <c r="Y100" i="2" s="1"/>
  <c r="Y118" i="2" s="1"/>
  <c r="AL29" i="2"/>
  <c r="AL100" i="2" s="1"/>
  <c r="AL118" i="2" s="1"/>
  <c r="U29" i="2"/>
  <c r="U100" i="2" s="1"/>
  <c r="U118" i="2" s="1"/>
  <c r="E31" i="2"/>
  <c r="L29" i="2"/>
  <c r="L100" i="2" s="1"/>
  <c r="L118" i="2" s="1"/>
  <c r="AG29" i="2"/>
  <c r="AG100" i="2" s="1"/>
  <c r="AG118" i="2" s="1"/>
  <c r="AJ29" i="2"/>
  <c r="AJ100" i="2" s="1"/>
  <c r="AJ118" i="2" s="1"/>
  <c r="G8" i="16" s="1"/>
  <c r="E8" i="16" s="1"/>
  <c r="M29" i="2"/>
  <c r="M100" i="2" s="1"/>
  <c r="M118" i="2" s="1"/>
  <c r="F31" i="2"/>
  <c r="T29" i="2"/>
  <c r="T100" i="2" s="1"/>
  <c r="T118" i="2" s="1"/>
  <c r="AK29" i="2"/>
  <c r="AK100" i="2" s="1"/>
  <c r="AK118" i="2" s="1"/>
  <c r="G29" i="2"/>
  <c r="G100" i="2" s="1"/>
  <c r="G118" i="2" s="1"/>
  <c r="V29" i="2"/>
  <c r="V100" i="2" s="1"/>
  <c r="V118" i="2" s="1"/>
  <c r="Z29" i="2"/>
  <c r="Z100" i="2" s="1"/>
  <c r="Z118" i="2" s="1"/>
  <c r="X29" i="2"/>
  <c r="X100" i="2" s="1"/>
  <c r="X118" i="2" s="1"/>
  <c r="F35" i="2"/>
  <c r="D31" i="2"/>
  <c r="D35" i="2"/>
  <c r="I29" i="2"/>
  <c r="I100" i="2" s="1"/>
  <c r="I118" i="2" s="1"/>
  <c r="E35" i="2"/>
  <c r="G6" i="14" l="1"/>
  <c r="E6" i="14" s="1"/>
  <c r="G7" i="16"/>
  <c r="E7" i="16" s="1"/>
  <c r="F29" i="2"/>
  <c r="F100" i="2" s="1"/>
  <c r="F118" i="2" s="1"/>
  <c r="C22" i="15" s="1"/>
  <c r="C7" i="15" s="1"/>
  <c r="C23" i="15" s="1"/>
  <c r="E29" i="2"/>
  <c r="E100" i="2" s="1"/>
  <c r="E118" i="2" s="1"/>
  <c r="C22" i="4" s="1"/>
  <c r="C7" i="4" s="1"/>
  <c r="C23" i="4" s="1"/>
  <c r="AN118" i="2"/>
  <c r="D29" i="2"/>
  <c r="D100" i="2" s="1"/>
  <c r="D118" i="2" s="1"/>
  <c r="G27" i="14" l="1"/>
  <c r="J27" i="14" s="1"/>
  <c r="E27" i="14"/>
  <c r="J23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Chatree Lertsintanakorn</author>
  </authors>
  <commentList>
    <comment ref="AN9" authorId="0" shapeId="0" xr:uid="{00000000-0006-0000-0100-000001000000}">
      <text>
        <r>
          <rPr>
            <b/>
            <sz val="14"/>
            <rFont val="Tahoma"/>
            <family val="2"/>
          </rPr>
          <t>นำค่าจากช่อง Z84 ของไฟล์
เดือนที่แล้วมาใส่</t>
        </r>
      </text>
    </comment>
  </commentList>
</comments>
</file>

<file path=xl/sharedStrings.xml><?xml version="1.0" encoding="utf-8"?>
<sst xmlns="http://schemas.openxmlformats.org/spreadsheetml/2006/main" count="766" uniqueCount="323">
  <si>
    <t>การจัดส่งรายงานการเงิน และเอกสารการหักล้างเงินโอนโครงการ</t>
  </si>
  <si>
    <t>รายการ/แหล่งเงิน</t>
  </si>
  <si>
    <t>เอกสารที่ต้องจัดส่ง/ส่งให้แก่</t>
  </si>
  <si>
    <t>ระยะเวลาการส่งใช้</t>
  </si>
  <si>
    <t>1. เงินโอนเพื่อเป็นค่าใช้จ่ายประจำสำนักงาน เช่น พ.ข.ต. ค่าจ้างชั่วคราว ค่าตอบแทน ค่าใช้สอย ค่าวัสดุ และค่าสาธารณูปโภค</t>
  </si>
  <si>
    <t>รายงานการเงิน คือ</t>
  </si>
  <si>
    <t>ภายใน 15 วัน ของเดือนถัดไป</t>
  </si>
  <si>
    <t xml:space="preserve">1.  ทะเบียนคุมรายรับ-รายจ่าย </t>
  </si>
  <si>
    <t>2.  งบหน้ารายจ่าย</t>
  </si>
  <si>
    <t>3.  งบเทียบยอดเงินฝากธนาคารพร้อมแนบ Bank Statement ที่แสดงรายการเคลื่อนไหวทางบัญชี (รับ, แลก, จ่าย, คืน) พร้อมเขียนกำกับใน Bank Statement ให้ชัดเจนด้วย</t>
  </si>
  <si>
    <t>4.  หลักฐานการแลกเปลี่ยนสกุลเงินตราต่างประเทศ(ถ้ามี)</t>
  </si>
  <si>
    <t>2. เงินเหลือจ่ายของค่าใช้จ่ายประจำสำนักงาน จากข้อ 1</t>
  </si>
  <si>
    <t>1.  บันทึกการแจ้งการส่งคืนเงินพร้อมรายละเอียดค่าใช้จ่ายที่ส่งคืน</t>
  </si>
  <si>
    <t>ภายใน 30 วัน  นับจากวันสิ้นปีงบประมาณ</t>
  </si>
  <si>
    <t>2.  เงินเหลือจ่าย</t>
  </si>
  <si>
    <t>3.  ใบแจ้งของธนาคารในการโอนคืนเงินเหลือจ่าย/(กรณีใช้การส่งคืนโดยการโอนเงินเหลือจ่ายให้แก่ส่วนกลาง)</t>
  </si>
  <si>
    <t>3. เงินโอนเพื่อจัดซื้อครุภัณฑ์</t>
  </si>
  <si>
    <t>1. ทะเบียนคุมรายรับ-รายจ่ายครุภัณฑ์รายตัว</t>
  </si>
  <si>
    <t>ภายใน 15 วัน นับจากวันสิ้นสุดโครงการ หรือเมื่อจ่ายเสร็จสิ้น</t>
  </si>
  <si>
    <t>2. หลักฐานการแลกเปลี่ยนสกุลเงินตราต่างประเทศ(ถ้ามี)</t>
  </si>
  <si>
    <t>3. สำเนารายงานการตรวจรับ</t>
  </si>
  <si>
    <t>4. สำเนาใบเสร็จรับเงิน</t>
  </si>
  <si>
    <t>5. เงินเหลือจ่าย(ถ้ามี) หรือ</t>
  </si>
  <si>
    <t>6. ใบแจ้งของธนาคารในการโอนคืนเงินเหลือจ่าย/(กรณีใช้การส่งคืนโดยการโอนเงินเหลือจ่ายให้แก่ส่วนกลาง)</t>
  </si>
  <si>
    <t>7. Bank Statement ที่แสดงรายการเคลื่อนไหวทางบัญชี (รับ, แลก, จ่าย, คืน) พร้อมเขียนกำกับใน Bank Statement ให้ชัดเจนด้วย</t>
  </si>
  <si>
    <t>4. เงินโอนค่าใช้จ่ายของโครงการต่างๆ ที่อนุมัติจากแหล่งเงิน</t>
  </si>
  <si>
    <t>1.  ทะเบียนคุมการรับ-รายจ่ายรายโครงการ</t>
  </si>
  <si>
    <t>- งบประมาณ</t>
  </si>
  <si>
    <t>- งบประมาณเบิกแทนกัน</t>
  </si>
  <si>
    <t>3. เงินเหลือจ่าย(ถ้ามี) หรือ</t>
  </si>
  <si>
    <t>4. ใบแจ้งของธนาคารในการโอนคืนเงินเหลือจ่าย/(กรณีใช้การส่งคืนโดยการโอนเงินเหลือจ่ายให้แก่ส่วนกลาง)</t>
  </si>
  <si>
    <t>5. Bank Statement ที่แสดงรายการเคลื่อนไหวทางบัญชี (รับ, แลก, จ่าย, คืน) พร้อมเขียนกำกับใน Bank Statement ให้ชัดเจนด้วย</t>
  </si>
  <si>
    <t>5. เงินโอนโครงการต่างๆอนุมัติจากเงินกองทุนฯ หรือเงินกิจกรรมฯ</t>
  </si>
  <si>
    <t>1. ใบสำคัญฉบับจริง</t>
  </si>
  <si>
    <t>2. เอกสารประกอบการเบิกจ่าย เช่น การดำเนินการตามระเบียบพัสดุ,รายชื่อผู้ร่วมเลี้ยงรับรอง เป็นต้น</t>
  </si>
  <si>
    <t>3. ทะเบียนคุมรับ-รายจ่ายรายโครงการ</t>
  </si>
  <si>
    <t>4. หลักฐานการแลกเปลี่ยนสกุลเงินตราต่างประเทศ(ถ้ามี)</t>
  </si>
  <si>
    <t xml:space="preserve">หมายเหตุ </t>
  </si>
  <si>
    <t>1. เอกสารรายงานการเงิน/ทะเบียนคุมรับจ่าย ต้องมีลายเซ็นรับรองความถูกต้องโดยผู้มีอำนาจ (ผอ.สคต. และผู้ช่วยผู้อำนวยการ สคต.)</t>
  </si>
  <si>
    <t xml:space="preserve">2. รายงานการเงินและเอกสารหักล้างเงินโอน ตามข้อ 1, 3-4  สคต. สามารถส่งสำเนามายังกลุ่มงานสารบรรณ ก่อนส่งฉบับจริงทางถุงเมล์ </t>
  </si>
  <si>
    <t>E-mail. สารบรรณกลาง  : otts@ditp.go.th</t>
  </si>
  <si>
    <t>ทะเบียนคุมรายรับ-รายจ่าย</t>
  </si>
  <si>
    <t>Yes</t>
  </si>
  <si>
    <t>Unhide</t>
  </si>
  <si>
    <t>No</t>
  </si>
  <si>
    <t>วันที่</t>
  </si>
  <si>
    <t>รายการ</t>
  </si>
  <si>
    <t>เงินฝากธนาคาร</t>
  </si>
  <si>
    <t>แผนงานบุคลากรภาครัฐ</t>
  </si>
  <si>
    <t>แผนงานพื้นฐาน (การพัฒนาและส่งเสริมการค้าระหว่างประเทศ)</t>
  </si>
  <si>
    <t>เงินรับฝาก (โครงการ/รายได้แผ่นดิน)</t>
  </si>
  <si>
    <t>งบบุคลากร</t>
  </si>
  <si>
    <t>งบดำเนินงาน</t>
  </si>
  <si>
    <t>งบรายจ่ายอื่น</t>
  </si>
  <si>
    <t>งบลงทุน (ครุภัณฑ์ ที่ดิน สิ่งก่อสร้าง)</t>
  </si>
  <si>
    <t xml:space="preserve">หมวด พ.ข.ต. </t>
  </si>
  <si>
    <t>หมวดค่าจ้างชั่วคราว</t>
  </si>
  <si>
    <t>หมวดค่าตอบแทน ใช้สอยและวัสดุ</t>
  </si>
  <si>
    <t>หมวดค่าตอบแทน</t>
  </si>
  <si>
    <t>หมวดค่าใช้สอย</t>
  </si>
  <si>
    <t>หมวดวัสดุ</t>
  </si>
  <si>
    <t>หมวดสาธารณูปโภค</t>
  </si>
  <si>
    <t>ค่าใช้จ่ายเดินทางไปต่างประเทศชั่วคราว</t>
  </si>
  <si>
    <t>ยอดคงเหลือตามบัญชีสำนักงาน (ยกมาจากเดือนที่แล้ว)</t>
  </si>
  <si>
    <t>รายรับ</t>
  </si>
  <si>
    <t>แลกจ่าย</t>
  </si>
  <si>
    <t>แลกเงิน........................(จำนวน.............Rate :......)</t>
  </si>
  <si>
    <t>รายจ่าย</t>
  </si>
  <si>
    <t>คงเหลือ</t>
  </si>
  <si>
    <t>แลกคืนเงิน</t>
  </si>
  <si>
    <t>คืนเงินเหลือจ่าย</t>
  </si>
  <si>
    <t>คืนเงินโครงการ...........</t>
  </si>
  <si>
    <t>คืนเงิน.................</t>
  </si>
  <si>
    <t>ยอดคงเหลือตามบัญชีสำนักงาน (ยกไป)</t>
  </si>
  <si>
    <t xml:space="preserve">เงินคงเหลือปีเก่ายังไม่ส่งคืนส่วนกลาง </t>
  </si>
  <si>
    <t>สกุลหลัก</t>
  </si>
  <si>
    <t>สกุลท้องถิ่น</t>
  </si>
  <si>
    <t>ขอรับรองว่าหน้างบรายจ่ายข้างต้น ข้าพเจ้าได้เบิกจ่ายเป็นไปตามระเบียบทางราชการ</t>
  </si>
  <si>
    <t>ลงชื่อ................................................................................. (ผู้จัดทำ)</t>
  </si>
  <si>
    <t>(                                                              )</t>
  </si>
  <si>
    <t>ลงชื่อ................................................................................. (หัวหน้าสำนักงาน)</t>
  </si>
  <si>
    <t>รวมทั้งสิ้น</t>
  </si>
  <si>
    <t>หน้างบรายจ่าย</t>
  </si>
  <si>
    <t xml:space="preserve">หมายเหตุ (กรุณาอ่านก่อนทำรายงาน) </t>
  </si>
  <si>
    <t>1. ให้ สคต. ลงรายการค่าใช้จ่ายในหน้านี้ เพื่อ link ไปยังหน้าทะเบียนคุมรับ - จ่าย</t>
  </si>
  <si>
    <t xml:space="preserve">2. ช่องสีชาว สามารถแก้ไข ลบ เพิ่ม รายการได้ </t>
  </si>
  <si>
    <t>3. ช่องที่มีสี ไม่สามารถแก้ไข ลบ เพิ่ม รายการได้ หากจะ ลบ เพิ่ม แก้ไข รายการให้แจ้งส่วนกลาง (เบอร์ 8028)</t>
  </si>
  <si>
    <t>วันที่จ่าย</t>
  </si>
  <si>
    <t>เลขที่ใบสำคัญ</t>
  </si>
  <si>
    <t>รหัสงบ</t>
  </si>
  <si>
    <t>เลขที่เช็ค</t>
  </si>
  <si>
    <t>หมวดรายจ่าย/ค่าใช้จ่าย</t>
  </si>
  <si>
    <t>จำนวนเงิน</t>
  </si>
  <si>
    <t>4. Hide/Unhide สำหรับลดรายการ ตอนสั่งพิมพ์รายงาน เพื่อให้ได้รายงานที่สั้น</t>
  </si>
  <si>
    <t>USD</t>
  </si>
  <si>
    <t>5. กรุณาตรวจสอบยอดยกมาจากเดือนที่แล้วให้ถูกต้อง ตรงกัน (หน้าทะเบียนคุมรับจ่าย)</t>
  </si>
  <si>
    <t>1. แผนงานบุคลากรภาครัฐ</t>
  </si>
  <si>
    <t>เงิน พ.ข.ต.</t>
  </si>
  <si>
    <t>ค่าจ้างลูกจ้างชั่วคราวฯ</t>
  </si>
  <si>
    <t>เงินรางวัลตามประเพณีท้องถิ่น</t>
  </si>
  <si>
    <t>ค่าการศึกษาบุตรของ ขรก.ใน ตปท.</t>
  </si>
  <si>
    <t>รายการค่ารักษาพยาบาลของ ขรก.ใน ตปท.</t>
  </si>
  <si>
    <t>เงินเดือน (เดือนที่13)</t>
  </si>
  <si>
    <t>ค่าประกันสังคม-ส่วนของนายจ้าง</t>
  </si>
  <si>
    <t>รวมแผนงานบุคลากรภาครัฐ</t>
  </si>
  <si>
    <t>2. แผนงานพื้นฐาน (การพัฒนาและส่งเสริมการค้าระหว่างประเทศ)</t>
  </si>
  <si>
    <t>เงินตอบแทนปฏิบัติงานนอกเวลาราชการ</t>
  </si>
  <si>
    <t>ค่านายหน้า-บ้านพัก ขรก.ใน ตปท.</t>
  </si>
  <si>
    <t>เงินกินเปล่า-บ้านพัก ขรก.ใน ตปท.</t>
  </si>
  <si>
    <t>เงินประกันสัญญา/เงินมัดจำ-บ้านพัก ขรก.ใน ตปท.</t>
  </si>
  <si>
    <t>ค่าทนายความ-เช่าสำนักงาน</t>
  </si>
  <si>
    <t>ค่านายหน้า-สำนักงาน</t>
  </si>
  <si>
    <t>เงินกินเปล่า-สำนักงาน</t>
  </si>
  <si>
    <t>เบี้ยเลี้ยง</t>
  </si>
  <si>
    <t>ค่าที่พัก</t>
  </si>
  <si>
    <t>ค่าทางด่วน/ค่าผ่านทาง</t>
  </si>
  <si>
    <t>ค่าพาหนะ</t>
  </si>
  <si>
    <t>ค่าบัตรโดยสารเครื่องบิน</t>
  </si>
  <si>
    <t>ค่าซ่อมยานพาหนะ</t>
  </si>
  <si>
    <t>ค่าซ่อมครุภัณฑ์</t>
  </si>
  <si>
    <t>ค่าซ่อมแซมสำนักงาน</t>
  </si>
  <si>
    <t>ค่าจ้างทำความสะอาด-คชจ.ประจำ</t>
  </si>
  <si>
    <t>ค่าจ้างรักษาความปลอดภัย-คชจ.ประจำ</t>
  </si>
  <si>
    <t>ค่าจ้างผู้รับจ้างเหมาบริการ</t>
  </si>
  <si>
    <t>ค่าจ้างล่าม-คชจ.ประจำ</t>
  </si>
  <si>
    <t>ค่าธรรมเนียมธนาคาร-คชจ.ประจำ</t>
  </si>
  <si>
    <t>ค่าขนส่ง-คชจ.ประจำ</t>
  </si>
  <si>
    <t>ค่าประกันภัยยานพาหนะ</t>
  </si>
  <si>
    <t>ค่าประกันภัยสำนักงาน</t>
  </si>
  <si>
    <t>ค่าใช้จ่ายในการประชุม</t>
  </si>
  <si>
    <t>ค่ารับรอง</t>
  </si>
  <si>
    <t>ค่าของขวัญ-คชจ.ประจำ</t>
  </si>
  <si>
    <t>ค่าเช่าสำนักงาน</t>
  </si>
  <si>
    <t>ค่าเช่าที่จอดรถสำนักงาน</t>
  </si>
  <si>
    <t>ค่าภาษี</t>
  </si>
  <si>
    <t>ค่าที่จอดรถ</t>
  </si>
  <si>
    <t>ค่าส่วนกลาง-สำนักงาน</t>
  </si>
  <si>
    <t>ค่าลงทะเบียนเรียนภาษาท้องถิ่น</t>
  </si>
  <si>
    <t>ค่าใช้สอยอื่นๆ โปรดระบุ ...</t>
  </si>
  <si>
    <t>ค่าวัสดุงานบ้านงานครัว-คชจ.ประจำ</t>
  </si>
  <si>
    <t>ค่าวัสดุไฟฟ้า-คชจ.ประจำ</t>
  </si>
  <si>
    <t>ค่าวัสดุหนังสือพิมพ์/วารสาร/ตำรา/คู่มือ</t>
  </si>
  <si>
    <t>วัสดุคอมพิวเตอร์-คชจ.ประจำ</t>
  </si>
  <si>
    <t>วัสดุเวชภัณฑ์-คชจ.ประจำ</t>
  </si>
  <si>
    <t>วัสดุยานพาหนะ-คชจ.ประจำ</t>
  </si>
  <si>
    <t>ค่าวัสดุเชื้อเพลิง-คชจ.ประจำ</t>
  </si>
  <si>
    <t>ค่าวัสดุอื่นๆ โปรดระบุ ...</t>
  </si>
  <si>
    <t>ค่าโทรศัพท์-คชจ.ประจำ</t>
  </si>
  <si>
    <t>ค่าน้ำประปา-คชจ.ประจำ</t>
  </si>
  <si>
    <t>ค่าไปรษณีย์-คชจ.ประจำ</t>
  </si>
  <si>
    <t>ค่าไฟฟ้า-คชจ.ประจำ</t>
  </si>
  <si>
    <t>ค่าบริการสื่อสาร-คชจ.ประจำ</t>
  </si>
  <si>
    <t>ค่าเช่าคู่สายโทรศัพท์สำนักงาน</t>
  </si>
  <si>
    <t>แผนงานพื้นฐาน (การพัฒนาและส่งเสริมการค้าระหว่างประเทศ</t>
  </si>
  <si>
    <t>รวมค่าใช้จ่ายงบประจำสำนักงาน</t>
  </si>
  <si>
    <t>หมวดค่าใช้จ่ายเดินทางไปต่างประเทศชั่วคราว</t>
  </si>
  <si>
    <t>ค่าเบี้ยเลี้ยง-รจ.อื่น</t>
  </si>
  <si>
    <t>ค่าที่พัก-รจ.อื่น</t>
  </si>
  <si>
    <t>ค่าพาหนะ-รจ.อื่น</t>
  </si>
  <si>
    <t>ค่าบัตรโดยสารเครื่องบิน-รจ.อื่น</t>
  </si>
  <si>
    <t>หมวดครุภัณฑ์ ที่ดิน สิ่งก่อสร้าง</t>
  </si>
  <si>
    <t>รถยนต์นั่งส่วนบุคคล ประจำสำนักงาน-เกินกว่า 1 ล้านบาท</t>
  </si>
  <si>
    <t>รถโดยสาร ขนาดไม่ต่ำกว่า 7 ที่นั่ง ประจำสำนักงาน-เกินกว่า 1 ล้านบาท</t>
  </si>
  <si>
    <t>เครื่องคอมพิวเตอร์พีซี</t>
  </si>
  <si>
    <t>โทรศัพท์มือถือ</t>
  </si>
  <si>
    <t>งบค่าใช้จ่ายโครงการ (เงินรับฝาก)</t>
  </si>
  <si>
    <t>รวมค่าใช้จ่ายทั้งสิ้น</t>
  </si>
  <si>
    <t>งบเทียบยอดบัญชีเงินฝากธนาคาร</t>
  </si>
  <si>
    <t>หมายเหตุ</t>
  </si>
  <si>
    <t>ยอดคงเหลือตามใบแจ้งยอดเงินฝากธนาคาร</t>
  </si>
  <si>
    <t>รายการบวก</t>
  </si>
  <si>
    <t>รายการหัก</t>
  </si>
  <si>
    <t>เงินคงเหลือปี......................... ยังไม่ส่งคืน</t>
  </si>
  <si>
    <t>เช็คเลขที่ .................. (ยังไม่ขึ้นเงิน)</t>
  </si>
  <si>
    <t>ยอดคงเหลือตามบัญชีสำนักงาน</t>
  </si>
  <si>
    <t>ทะเบียนคุมการรับ-จ่าย รายโครงการ</t>
  </si>
  <si>
    <t>Outward Remittance Information</t>
  </si>
  <si>
    <t>โครงการ/งานแสดงสินค้า....................................................................</t>
  </si>
  <si>
    <t>Transfer Date</t>
  </si>
  <si>
    <t>ระหว่างวันที่ ...................... ถึงวันที่....................... ปีงบประมาณ....................</t>
  </si>
  <si>
    <t>Beneficiary Bank</t>
  </si>
  <si>
    <t>KRUNGTHAI PLC.</t>
  </si>
  <si>
    <t>แหล่งเงินงบประมาณ</t>
  </si>
  <si>
    <t>Account No.</t>
  </si>
  <si>
    <t>Account Name</t>
  </si>
  <si>
    <t>Department of International Trade Promotion</t>
  </si>
  <si>
    <t>เลขที่ พณ</t>
  </si>
  <si>
    <t>0901.3/</t>
  </si>
  <si>
    <t>เลขที่ OR</t>
  </si>
  <si>
    <t>SWIFT Code</t>
  </si>
  <si>
    <t>รายการค่าใช้จ่าย</t>
  </si>
  <si>
    <t>CCY</t>
  </si>
  <si>
    <t>สกุลเงินท้องถิ่น</t>
  </si>
  <si>
    <t>Amount</t>
  </si>
  <si>
    <t>Refference</t>
  </si>
  <si>
    <t>คงเหลือสุทธิ</t>
  </si>
  <si>
    <t>ลงชื่อ.................................................................... (ผู้จัดทำ)</t>
  </si>
  <si>
    <t>ลงชื่อ................................................................... (หัวหน้าสำนักงาน)</t>
  </si>
  <si>
    <t>แหล่งเงิน............................................. (งบประมาณ/กิจกรรมฯ/กองทุนฯ)</t>
  </si>
  <si>
    <t>รหัสบัญชี</t>
  </si>
  <si>
    <t>แหล่งเงิน........(ประมาณ/กิจกรรมฯ/กองทุนฯ)</t>
  </si>
  <si>
    <t xml:space="preserve">ยอดยกมา </t>
  </si>
  <si>
    <t>ครุภัณฑ์....................................</t>
  </si>
  <si>
    <t>OR87654321</t>
  </si>
  <si>
    <t>จำนวนหน่วย</t>
  </si>
  <si>
    <t>ราคา/หน่วย</t>
  </si>
  <si>
    <t>Reference</t>
  </si>
  <si>
    <t xml:space="preserve">ทะเบียนคุมเงินฝากธนาคาร </t>
  </si>
  <si>
    <t>เลขที่บัญชี</t>
  </si>
  <si>
    <t>สกุลเงิน</t>
  </si>
  <si>
    <t xml:space="preserve">แหล่งเงิน </t>
  </si>
  <si>
    <t>1. แหล่งเงินงบประมาณ</t>
  </si>
  <si>
    <t>2. แหล่งเงินกองทุนฯ</t>
  </si>
  <si>
    <t xml:space="preserve">(1.1) เงินคงเหลือ ณ สิ้นปีงบประมาณ รอส่งคืนเป็นเงินรายได้แผ่นดิน </t>
  </si>
  <si>
    <t>(2.1) เงินเหลือจ่าย ณ วันสิ้นปีงบประมาณ รอส่งคืนกองทุนฯ</t>
  </si>
  <si>
    <t>(2.2) เงินรอจ่ายโครงการ/เงินเหลือจ่ายโครงการที่ยังดำเนินการไม่สิ้นสุด</t>
  </si>
  <si>
    <t>รวม</t>
  </si>
  <si>
    <t>1. จัดทำ 1 สกุลเงิน ต่อ 1 ทะเบียนคุม</t>
  </si>
  <si>
    <t xml:space="preserve">2. (2.1) เงินคงเหลือ ณ สิ้นปีงบประมาณ รอส่งคืนเป็นเงินรายได้แผ่นดิน  หมายถึง </t>
  </si>
  <si>
    <t>เงินเหลือจ่ายงบประจำสำนักงาน ณ วันสิ้นปีงบประมาณรอส่งคืนกรม</t>
  </si>
  <si>
    <t>เงินเหลือจ่ายโครงการ/ครุภัณฑ์ จากแหล่งเงินงบประมาณ ที่ดำเนินการ/เบิกจ่าย เสร็จสิ้นแล้วรอส่งคืนกรม</t>
  </si>
  <si>
    <t>(2.2) เงินรอจ่ายเพื่อดำเนินโครงการ/เงินที่ทำรื่องขอเก็บเงิน  หมายถึง</t>
  </si>
  <si>
    <t>โครงการ/ครุภัณฑ์ จากแหล่งเงินงบประมาณที่ยังดำเนินการไม่เสร็จสิ้น</t>
  </si>
  <si>
    <t>และได้ทำเรื่องขอเก็บเงินไว้ใช้จ่ายหลังสิ้นปีงบประมาณแล้ว</t>
  </si>
  <si>
    <t>(2.3) เงินเหลือจ่าย ณ วันสิ้นปีงบประมาณ รอส่งคืนกองทุนฯ หมายถึง</t>
  </si>
  <si>
    <t>เงินเหลือจ่ายโครงการจากแหล่งเงินกองทุน ที่ดำเนินการ/เบิกจ่าย เสร็จสิ้นแล้วรอส่งคืนกรม</t>
  </si>
  <si>
    <t>(2.4) เงินรอจ่ายโครงการ/เงินเหลือจ่ายโครงการที่ยังดำเนินการไม่สิ้นสุด หมายถึง</t>
  </si>
  <si>
    <t>โครงการจากแหล่งเงินกองทุนฯ ที่ยังดำเนินการไม่เสร็จสิ้นและได้ทำเรื่องขอเก็บเงินไว้ใช้จ่ายหลังสิ้นปีงบประมาณแล้ว</t>
  </si>
  <si>
    <t>สำนักงานส่งเสริมการค้าในต่างประเทศ ณ .............................</t>
  </si>
  <si>
    <t>สำนักงานส่งเสริมการค้าในต่างประเทศ ณ ................................</t>
  </si>
  <si>
    <t>ทะเบียนคุมการรับ-จ่าย รายครุภัณฑ์</t>
  </si>
  <si>
    <t>OR2233063</t>
  </si>
  <si>
    <t>(1.2) เงินรอจ่ายเพื่อดำเนินโครงการ/เงินที่ทำเรื่องขอเก็บเงิน</t>
  </si>
  <si>
    <t>โครงการ/งานแสดงสินค้า........................................................................</t>
  </si>
  <si>
    <t>สำนักงานส่งเสริมการค้าในต่างประเทศ ณ ..............................</t>
  </si>
  <si>
    <t>ระหว่างวันที่ ........................... ถึงวันที่ ........................... ปีงบประมาณ .....................</t>
  </si>
  <si>
    <t>คงเหลือสุทธิ ณ 30 ก.ย. ..........</t>
  </si>
  <si>
    <t>จำนวนเงินคงเหลือ
ตามบัญชีเงินฝากธนาคาร</t>
  </si>
  <si>
    <t>หมวดค่าใช้สอย (ค่าเช่าสำนักงาน)</t>
  </si>
  <si>
    <t>ปีงบประมาณ 2569</t>
  </si>
  <si>
    <t>สำนักงานส่งเสริมการค้าในต่างประเทศ ณ กรุงมะนิลา</t>
  </si>
  <si>
    <t>PHP</t>
  </si>
  <si>
    <t xml:space="preserve">เงิน พ.ข.ต. ผอ. สคต. </t>
  </si>
  <si>
    <t xml:space="preserve">เงิน พ.ข.ต. ผช. ผอ. สคต. </t>
  </si>
  <si>
    <t xml:space="preserve">เงิน พ.ข.ต. ส่วนเพิ่ม (สามี) ผช. ผอ. สคต. </t>
  </si>
  <si>
    <t>เงิน พ.ข.ต. ส่วนเพิ่ม (บุตร) ผช. ผอ. สคต.</t>
  </si>
  <si>
    <t>ค่าจ้างลูกจ้างชั่วคราวฯ ผู้ช่วยดำเนินการฯ คนที่ 1</t>
  </si>
  <si>
    <t>ค่าจ้างลูกจ้างชั่วคราวฯ ผู้ช่วยดำเนินการฯ คนที่ 2</t>
  </si>
  <si>
    <t>ค่าวัสดุสำนักงาน (หมึกสำหรับเครื่องพิมพ์) -คชจ.ประจำ</t>
  </si>
  <si>
    <t>ค่าโทรศัพท์เคลื่อนที่ประจำตำแหน่ง ผอ. สคต.-คชจ. ประจำ</t>
  </si>
  <si>
    <t>ค่าโทรศัพท์เคลื่อนที่ประจำตำแหน่ง ผช.ผอ.สคต.-คชจ. ประจำ</t>
  </si>
  <si>
    <t>1. งบประจำสำนักงานคงเหลือจากปีงบประมาณ 2568</t>
  </si>
  <si>
    <t>2. รายได้แผ่นดิน (ดอกเบี้ย)</t>
  </si>
  <si>
    <t xml:space="preserve">3. แลกคืนงบประจำสำนักงาน (จำนวน 30,945.19 เปโซ </t>
  </si>
  <si>
    <t xml:space="preserve">4. แลกคืนเงินรายได้แผ่นดิน (จำนวน 2,818.70 เปโซ </t>
  </si>
  <si>
    <t xml:space="preserve">               ( นางสาวกานติมา  กาญจนเดชะ )</t>
  </si>
  <si>
    <t xml:space="preserve">           ( นางสาวกานติมา  กาญจนเดชะ  )</t>
  </si>
  <si>
    <t xml:space="preserve">                 (  นางสาวสุธินี  วัฒนา   )</t>
  </si>
  <si>
    <t>เลขที่บัญชี  0020-101694-400 ธนาคารกรุงเทพ (Bangkok Bank) สาขามะนิลา (Manila)</t>
  </si>
  <si>
    <t xml:space="preserve">          (  นางสาวกานติมา  กาญจนเดชะ  )</t>
  </si>
  <si>
    <t xml:space="preserve">                 ( นางสาวสุธินี  วัฒนา  )</t>
  </si>
  <si>
    <t>สกุลเงิน…เหรียญสหรัฐฯ..........</t>
  </si>
  <si>
    <t>สกุลเงิน…เปโซ..........</t>
  </si>
  <si>
    <t>เลขที่บัญชี 0019-101694-400 ธนาคารกรุงเทพ (Bangkok Bank) สาขามะนิลา (Manila)</t>
  </si>
  <si>
    <t>0020-101694-400</t>
  </si>
  <si>
    <t>1. งบประจำสำนักงาน</t>
  </si>
  <si>
    <t>งบประมาณ</t>
  </si>
  <si>
    <t>2. งบลงทุน</t>
  </si>
  <si>
    <t>ตลาดอาเซียน (AEC Business Support Center)</t>
  </si>
  <si>
    <t xml:space="preserve">        ( นางสาวกานติมา  กาญจนเดชะ  )</t>
  </si>
  <si>
    <t xml:space="preserve">               (   นางสาวสุธินี  วัฒนา   )</t>
  </si>
  <si>
    <t>0019-101694-400</t>
  </si>
  <si>
    <t>เปโซ</t>
  </si>
  <si>
    <t xml:space="preserve">                (  นางสาวสุธินี  วัฒนา  )</t>
  </si>
  <si>
    <t>7. รายได้แผ่นดิน (ดอกเบี้ย) เดือนกันยายน 2568</t>
  </si>
  <si>
    <t xml:space="preserve">Rate : 1 USD : 58.30 เปโซ) เมื่อวันที่ 10 ต.ค. 2568 </t>
  </si>
  <si>
    <t>5. คืนเงินงบประจำสำนักงานเมื่อวันที่ 10 ต.ค. 2568</t>
  </si>
  <si>
    <t>6. คืนเงินรายได้แผ่นดิน เมื่อวันที่ 10 ต.ค. 2568</t>
  </si>
  <si>
    <t>4. โครงการศูนย์พัฒนาการค้าและธุรกิจไทยใน</t>
  </si>
  <si>
    <t>3. รายได้แผ่นดิน (ดอกเบี้ย)</t>
  </si>
  <si>
    <t>ค่าจ้างลูกจ้างชั่วคราวฯ พนักงานขับรถยนต์</t>
  </si>
  <si>
    <t xml:space="preserve">ค่าไฟฟ้า-บ้านพักขรก.ใน ตปท.  (ผอ. สคต.) </t>
  </si>
  <si>
    <t>ค่าวัสดุงานบ้านงานครัว (น้ำดื่มเพื่อรับรองแขก)-คชจ.ประจำ</t>
  </si>
  <si>
    <t xml:space="preserve">ค่าจ้างบุคลากรท้องถิ่นโครงการ AEC Business Support Center 2026 </t>
  </si>
  <si>
    <t>5. โครงการงานแสดงสินค้า Thailand Week</t>
  </si>
  <si>
    <t>2025 ณ เมืองเซบู สาธารณรัฐฟิลิปปินส์</t>
  </si>
  <si>
    <t>เงินกองทุนฯ</t>
  </si>
  <si>
    <t>4. โครงการ Thai SELECT ในประเทศฟิลิปปินส์</t>
  </si>
  <si>
    <t xml:space="preserve">ค่าเช่าบ้านพักของ ขรก.ใน ตปท. (ผอ. สคต.) </t>
  </si>
  <si>
    <t xml:space="preserve">ค่าไฟฟ้า-บ้านพักขรก.ใน ตปท.  (ผช. ผอ. สคต.) </t>
  </si>
  <si>
    <t xml:space="preserve">ค่าการศึกษาบุตรของ ขรก.ใน ตปท.  (ผช. ผอ. สคต.) </t>
  </si>
  <si>
    <t xml:space="preserve">ค่าไฟฟ้า-บ้านพักขรก.ใน ตปท. (ผอ. สคต.) </t>
  </si>
  <si>
    <t xml:space="preserve">ค่าน้ำประปา-บ้านพักขรก.ใน ตปท. (ผอ. สคต.) </t>
  </si>
  <si>
    <t xml:space="preserve">7. โครงการ Think Rice Think Thailand </t>
  </si>
  <si>
    <t>ส่งเสริมตลาดข้าวไทยในฟิลิปปินส์</t>
  </si>
  <si>
    <t>8. โครงการงานแสดงสินค้า International Franchise</t>
  </si>
  <si>
    <t xml:space="preserve"> Expo (Franchise Asia Philippines 2026)</t>
  </si>
  <si>
    <t>6. โครงการ Thai SELECT ในประเทศ ฟิลิปปินส์</t>
  </si>
  <si>
    <t>เงินตกเบิก ค่าจ้างลูกจ้างชั่วคราวฯ ผู้ช่วยดำเนินการฯ คนที่ 1 (ตุลาคม - ธันวาคม 2568)</t>
  </si>
  <si>
    <t>เงินตกเบิก ค่าจ้างลูกจ้างชั่วคราวฯ ผู้ช่วยดำเนินการฯ คนที่ 2 (ตุลาคม - ธันวาคม 2568)</t>
  </si>
  <si>
    <t xml:space="preserve">5. โครงการงานแสดงสินค้า International </t>
  </si>
  <si>
    <t xml:space="preserve">Franchise Expo (Franchise Asia Philippines </t>
  </si>
  <si>
    <t>2026)</t>
  </si>
  <si>
    <t>ปีงบประมาณ 2569  ประจำเดือน....กุมภาพันธ์ 2569...</t>
  </si>
  <si>
    <t>24 ก.พ. 69</t>
  </si>
  <si>
    <t>27 ก.พ. 69</t>
  </si>
  <si>
    <t>5 ก.พ. 69</t>
  </si>
  <si>
    <t>10 ก.พ. 69</t>
  </si>
  <si>
    <t>ปีงบประมาณ 2569  ประจำเดือนกุมภาพันธ์ 2569</t>
  </si>
  <si>
    <t>แลกเงินโครงการคณะผู้แทนการค้าธุรกิจซอฟต์แวร์ MarTech เยือนเอเชีย
(จำนวน 77,337.97 USD Rate : 57.70 เปโซ)</t>
  </si>
  <si>
    <t>23 ก.พ. 69</t>
  </si>
  <si>
    <t>เงินโนค่าใช้จ่ายโครงการคณะผู้แทนการค้าธุรกิจซอฟต์แวร์ MarTech เยือนเอเชีย</t>
  </si>
  <si>
    <t>19 ก.พ. 69</t>
  </si>
  <si>
    <t>21+50:50</t>
  </si>
  <si>
    <t>5</t>
  </si>
  <si>
    <t>6 - 7</t>
  </si>
  <si>
    <t>12 - 14</t>
  </si>
  <si>
    <t>ปีงบประมาณ 2569 ประจำเดือน..........กุมภาพันธ์ 2569......................</t>
  </si>
  <si>
    <t>ปีงบประมาณ 2569 ประจำเดือน...........กุมภาพันธ์ 2569......................</t>
  </si>
  <si>
    <t>ปีงบประมาณ 2569  ประจำเดือน....กุมภาพันธ์ 2569.....  สกุลเงิน .....เหรียญสหรัฐฯ................</t>
  </si>
  <si>
    <t>ปีงบประมาณ 2569  ประจำเดือน.....กุมภาพันธ์ 2569.....  สกุลเงิน .....เปโซ................</t>
  </si>
  <si>
    <t xml:space="preserve">9. โครงการคณะผู้แทนการค้าธุรกิจซอฟต์แวร์ </t>
  </si>
  <si>
    <t>MarTech เยือนเอเชีย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</si>
</sst>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-* #,##0.00_-;\-* #,##0.00_-;_-* &quot;-&quot;??_-;_-@_-"/>
    <numFmt numFmtId="165" formatCode="[$-101041E]d\ mmm\ yy;@"/>
    <numFmt numFmtId="166" formatCode="d\ mmm\ yyyy"/>
  </numFmts>
  <fonts count="53">
    <font>
      <sz val="11"/>
      <color theme="1"/>
      <name val="Calibri"/>
      <charset val="222"/>
      <scheme val="minor"/>
    </font>
    <font>
      <sz val="11"/>
      <color theme="1"/>
      <name val="Calibri"/>
      <family val="2"/>
      <charset val="222"/>
      <scheme val="minor"/>
    </font>
    <font>
      <b/>
      <sz val="16"/>
      <name val="Calibri"/>
      <family val="2"/>
      <scheme val="minor"/>
    </font>
    <font>
      <b/>
      <sz val="12"/>
      <color theme="3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TH SarabunPSK"/>
      <family val="2"/>
    </font>
    <font>
      <sz val="12"/>
      <color theme="1"/>
      <name val="TH SarabunPSK"/>
      <family val="2"/>
    </font>
    <font>
      <sz val="14"/>
      <color theme="1"/>
      <name val="TH SarabunPSK"/>
      <family val="2"/>
    </font>
    <font>
      <b/>
      <sz val="14"/>
      <color theme="1"/>
      <name val="TH SarabunPSK"/>
      <family val="2"/>
    </font>
    <font>
      <sz val="14"/>
      <name val="TH SarabunPSK"/>
      <family val="2"/>
    </font>
    <font>
      <b/>
      <sz val="14"/>
      <name val="TH SarabunPSK"/>
      <family val="2"/>
    </font>
    <font>
      <b/>
      <sz val="12"/>
      <color theme="1"/>
      <name val="TH SarabunPSK"/>
      <family val="2"/>
    </font>
    <font>
      <b/>
      <u/>
      <sz val="14"/>
      <color theme="1"/>
      <name val="TH SarabunPSK"/>
      <family val="2"/>
    </font>
    <font>
      <sz val="16"/>
      <color theme="1"/>
      <name val="TH SarabunPSK"/>
      <family val="2"/>
    </font>
    <font>
      <b/>
      <u/>
      <sz val="16"/>
      <color theme="1"/>
      <name val="TH SarabunPSK"/>
      <family val="2"/>
    </font>
    <font>
      <sz val="12"/>
      <name val="TH SarabunPSK"/>
      <family val="2"/>
    </font>
    <font>
      <sz val="11"/>
      <color theme="0"/>
      <name val="TH SarabunPSK"/>
      <family val="2"/>
    </font>
    <font>
      <sz val="12"/>
      <color theme="0"/>
      <name val="TH SarabunPSK"/>
      <family val="2"/>
    </font>
    <font>
      <b/>
      <sz val="16"/>
      <name val="TH SarabunPSK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name val="Tahoma"/>
      <family val="2"/>
    </font>
    <font>
      <sz val="18"/>
      <color theme="1"/>
      <name val="TH Sarabun New"/>
      <family val="2"/>
    </font>
    <font>
      <b/>
      <sz val="18"/>
      <color theme="1"/>
      <name val="TH Sarabun New"/>
      <family val="2"/>
    </font>
    <font>
      <sz val="18"/>
      <name val="TH Sarabun New"/>
      <family val="2"/>
    </font>
    <font>
      <sz val="12"/>
      <color theme="0"/>
      <name val="TH Sarabun New"/>
      <family val="2"/>
    </font>
    <font>
      <sz val="12"/>
      <name val="TH Sarabun New"/>
      <family val="2"/>
    </font>
    <font>
      <b/>
      <u/>
      <sz val="20"/>
      <color rgb="FFFF0000"/>
      <name val="TH Sarabun New"/>
      <family val="2"/>
    </font>
    <font>
      <b/>
      <sz val="18"/>
      <color rgb="FFFF0000"/>
      <name val="TH Sarabun New"/>
      <family val="2"/>
    </font>
    <font>
      <sz val="11"/>
      <color theme="0"/>
      <name val="TH Sarabun New"/>
      <family val="2"/>
    </font>
    <font>
      <b/>
      <sz val="20"/>
      <color rgb="FFFF0000"/>
      <name val="TH Sarabun New"/>
      <family val="2"/>
    </font>
    <font>
      <b/>
      <sz val="18"/>
      <name val="TH Sarabun New"/>
      <family val="2"/>
    </font>
    <font>
      <b/>
      <u/>
      <sz val="18"/>
      <color theme="1"/>
      <name val="TH Sarabun New"/>
      <family val="2"/>
    </font>
    <font>
      <sz val="18"/>
      <color theme="0"/>
      <name val="TH Sarabun New"/>
      <family val="2"/>
    </font>
    <font>
      <sz val="16"/>
      <name val="TH Sarabun New"/>
      <family val="2"/>
    </font>
    <font>
      <sz val="18"/>
      <color rgb="FFFF0000"/>
      <name val="TH Sarabun New"/>
      <family val="2"/>
    </font>
    <font>
      <b/>
      <sz val="18"/>
      <color theme="0"/>
      <name val="TH Sarabun New"/>
      <family val="2"/>
    </font>
    <font>
      <b/>
      <i/>
      <u/>
      <sz val="18"/>
      <color theme="9" tint="-0.249977111117893"/>
      <name val="TH Sarabun New"/>
      <family val="2"/>
    </font>
    <font>
      <i/>
      <sz val="18"/>
      <color theme="9" tint="-0.249977111117893"/>
      <name val="TH Sarabun New"/>
      <family val="2"/>
    </font>
    <font>
      <sz val="18"/>
      <color theme="9" tint="-0.249977111117893"/>
      <name val="TH Sarabun New"/>
      <family val="2"/>
    </font>
    <font>
      <b/>
      <sz val="16"/>
      <color theme="1"/>
      <name val="TH Sarabun New"/>
      <family val="2"/>
    </font>
    <font>
      <sz val="14"/>
      <color theme="1"/>
      <name val="TH Sarabun New"/>
      <family val="2"/>
    </font>
    <font>
      <b/>
      <sz val="14"/>
      <color theme="1"/>
      <name val="TH Sarabun New"/>
      <family val="2"/>
    </font>
    <font>
      <b/>
      <u/>
      <sz val="14"/>
      <color theme="1"/>
      <name val="TH Sarabun New"/>
      <family val="2"/>
    </font>
    <font>
      <sz val="14"/>
      <color theme="5" tint="-0.249977111117893"/>
      <name val="TH Sarabun New"/>
      <family val="2"/>
    </font>
    <font>
      <sz val="16"/>
      <color theme="1"/>
      <name val="TH Sarabun New"/>
      <family val="2"/>
    </font>
    <font>
      <b/>
      <u/>
      <sz val="13"/>
      <color theme="1"/>
      <name val="TH Sarabun New"/>
      <family val="2"/>
    </font>
    <font>
      <sz val="13"/>
      <color theme="1"/>
      <name val="TH Sarabun New"/>
      <family val="2"/>
    </font>
    <font>
      <b/>
      <sz val="17"/>
      <color theme="1"/>
      <name val="TH Sarabun New"/>
      <family val="2"/>
    </font>
    <font>
      <sz val="17"/>
      <color theme="1"/>
      <name val="TH Sarabun New"/>
      <family val="2"/>
    </font>
  </fonts>
  <fills count="27">
    <fill>
      <patternFill patternType="none"/>
    </fill>
    <fill>
      <patternFill patternType="gray125"/>
    </fill>
    <fill>
      <patternFill patternType="solid">
        <fgColor theme="9" tint="0.3999450666829432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94">
    <border>
      <left/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theme="0" tint="-0.14993743705557422"/>
      </bottom>
      <diagonal/>
    </border>
    <border>
      <left style="thin">
        <color auto="1"/>
      </left>
      <right style="thin">
        <color auto="1"/>
      </right>
      <top style="hair">
        <color theme="0" tint="-0.14993743705557422"/>
      </top>
      <bottom style="hair">
        <color theme="0" tint="-0.14993743705557422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theme="0" tint="-0.14993743705557422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theme="0" tint="-0.14993743705557422"/>
      </right>
      <top style="thin">
        <color auto="1"/>
      </top>
      <bottom style="hair">
        <color theme="0" tint="-0.14993743705557422"/>
      </bottom>
      <diagonal/>
    </border>
    <border>
      <left style="hair">
        <color theme="0" tint="-0.14993743705557422"/>
      </left>
      <right style="hair">
        <color theme="0" tint="-0.14993743705557422"/>
      </right>
      <top style="thin">
        <color auto="1"/>
      </top>
      <bottom style="hair">
        <color theme="0" tint="-0.14993743705557422"/>
      </bottom>
      <diagonal/>
    </border>
    <border>
      <left style="hair">
        <color theme="0" tint="-0.14993743705557422"/>
      </left>
      <right style="thin">
        <color auto="1"/>
      </right>
      <top style="thin">
        <color auto="1"/>
      </top>
      <bottom style="hair">
        <color theme="0" tint="-0.14993743705557422"/>
      </bottom>
      <diagonal/>
    </border>
    <border>
      <left style="thin">
        <color auto="1"/>
      </left>
      <right style="hair">
        <color theme="0" tint="-0.14993743705557422"/>
      </right>
      <top style="hair">
        <color theme="0" tint="-0.14993743705557422"/>
      </top>
      <bottom style="hair">
        <color theme="0" tint="-0.14993743705557422"/>
      </bottom>
      <diagonal/>
    </border>
    <border>
      <left style="hair">
        <color theme="0" tint="-0.14993743705557422"/>
      </left>
      <right style="hair">
        <color theme="0" tint="-0.14993743705557422"/>
      </right>
      <top style="hair">
        <color theme="0" tint="-0.14993743705557422"/>
      </top>
      <bottom style="hair">
        <color theme="0" tint="-0.14993743705557422"/>
      </bottom>
      <diagonal/>
    </border>
    <border>
      <left style="hair">
        <color theme="0" tint="-0.14993743705557422"/>
      </left>
      <right style="thin">
        <color auto="1"/>
      </right>
      <top style="hair">
        <color theme="0" tint="-0.14993743705557422"/>
      </top>
      <bottom style="hair">
        <color theme="0" tint="-0.14993743705557422"/>
      </bottom>
      <diagonal/>
    </border>
    <border>
      <left style="thin">
        <color auto="1"/>
      </left>
      <right style="hair">
        <color theme="0" tint="-0.14993743705557422"/>
      </right>
      <top style="hair">
        <color theme="0" tint="-0.14993743705557422"/>
      </top>
      <bottom style="thin">
        <color auto="1"/>
      </bottom>
      <diagonal/>
    </border>
    <border>
      <left style="hair">
        <color theme="0" tint="-0.14993743705557422"/>
      </left>
      <right style="hair">
        <color theme="0" tint="-0.14993743705557422"/>
      </right>
      <top style="hair">
        <color theme="0" tint="-0.14993743705557422"/>
      </top>
      <bottom style="thin">
        <color auto="1"/>
      </bottom>
      <diagonal/>
    </border>
    <border>
      <left style="hair">
        <color theme="0" tint="-0.14993743705557422"/>
      </left>
      <right style="thin">
        <color auto="1"/>
      </right>
      <top style="hair">
        <color theme="0" tint="-0.14993743705557422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hair">
        <color theme="0" tint="-0.14990691854609822"/>
      </bottom>
      <diagonal/>
    </border>
    <border>
      <left style="thin">
        <color auto="1"/>
      </left>
      <right style="thin">
        <color auto="1"/>
      </right>
      <top/>
      <bottom style="hair">
        <color theme="0" tint="-0.149906918546098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theme="0" tint="-0.14990691854609822"/>
      </bottom>
      <diagonal/>
    </border>
    <border>
      <left style="thin">
        <color auto="1"/>
      </left>
      <right style="thin">
        <color auto="1"/>
      </right>
      <top style="hair">
        <color theme="0" tint="-0.14990691854609822"/>
      </top>
      <bottom style="hair">
        <color theme="0" tint="-0.14993743705557422"/>
      </bottom>
      <diagonal/>
    </border>
    <border>
      <left style="thin">
        <color auto="1"/>
      </left>
      <right style="thin">
        <color auto="1"/>
      </right>
      <top style="hair">
        <color theme="0" tint="-0.1499374370555742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theme="0" tint="-0.1499069185460982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hair">
        <color theme="0" tint="-0.14990691854609822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theme="0" tint="-0.14993743705557422"/>
      </bottom>
      <diagonal/>
    </border>
    <border>
      <left style="thin">
        <color auto="1"/>
      </left>
      <right/>
      <top style="medium">
        <color auto="1"/>
      </top>
      <bottom style="hair">
        <color theme="0" tint="-0.14993743705557422"/>
      </bottom>
      <diagonal/>
    </border>
    <border>
      <left style="medium">
        <color auto="1"/>
      </left>
      <right style="thin">
        <color auto="1"/>
      </right>
      <top style="hair">
        <color theme="0" tint="-0.14993743705557422"/>
      </top>
      <bottom style="hair">
        <color theme="0" tint="-0.14993743705557422"/>
      </bottom>
      <diagonal/>
    </border>
    <border>
      <left style="thin">
        <color auto="1"/>
      </left>
      <right/>
      <top style="hair">
        <color theme="0" tint="-0.14993743705557422"/>
      </top>
      <bottom style="hair">
        <color theme="0" tint="-0.14993743705557422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theme="0" tint="-0.14993743705557422"/>
      </bottom>
      <diagonal/>
    </border>
    <border>
      <left/>
      <right/>
      <top style="medium">
        <color auto="1"/>
      </top>
      <bottom style="hair">
        <color theme="0" tint="-0.14993743705557422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theme="0" tint="-0.14993743705557422"/>
      </bottom>
      <diagonal/>
    </border>
    <border>
      <left style="thin">
        <color auto="1"/>
      </left>
      <right style="medium">
        <color auto="1"/>
      </right>
      <top style="hair">
        <color theme="0" tint="-0.14993743705557422"/>
      </top>
      <bottom style="hair">
        <color theme="0" tint="-0.14993743705557422"/>
      </bottom>
      <diagonal/>
    </border>
    <border>
      <left/>
      <right style="thin">
        <color auto="1"/>
      </right>
      <top style="hair">
        <color theme="0" tint="-0.14993743705557422"/>
      </top>
      <bottom style="hair">
        <color theme="0" tint="-0.14993743705557422"/>
      </bottom>
      <diagonal/>
    </border>
    <border>
      <left/>
      <right/>
      <top style="hair">
        <color theme="0" tint="-0.14993743705557422"/>
      </top>
      <bottom style="hair">
        <color theme="0" tint="-0.14993743705557422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hair">
        <color theme="0" tint="-0.14993743705557422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theme="0" tint="-0.14993743705557422"/>
      </top>
      <bottom style="medium">
        <color auto="1"/>
      </bottom>
      <diagonal/>
    </border>
    <border>
      <left style="thin">
        <color auto="1"/>
      </left>
      <right/>
      <top style="hair">
        <color theme="0" tint="-0.14993743705557422"/>
      </top>
      <bottom style="medium">
        <color auto="1"/>
      </bottom>
      <diagonal/>
    </border>
    <border>
      <left/>
      <right style="thin">
        <color auto="1"/>
      </right>
      <top style="hair">
        <color theme="0" tint="-0.14993743705557422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theme="0" tint="-0.14993743705557422"/>
      </top>
      <bottom style="medium">
        <color auto="1"/>
      </bottom>
      <diagonal/>
    </border>
    <border>
      <left/>
      <right/>
      <top style="hair">
        <color theme="0" tint="-0.14993743705557422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6">
    <xf numFmtId="0" fontId="0" fillId="0" borderId="0"/>
    <xf numFmtId="164" fontId="22" fillId="0" borderId="0" applyFont="0" applyFill="0" applyBorder="0" applyAlignment="0" applyProtection="0"/>
    <xf numFmtId="0" fontId="21" fillId="0" borderId="0"/>
    <xf numFmtId="164" fontId="2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</cellStyleXfs>
  <cellXfs count="493">
    <xf numFmtId="0" fontId="0" fillId="0" borderId="0" xfId="0"/>
    <xf numFmtId="0" fontId="0" fillId="0" borderId="0" xfId="0" applyProtection="1">
      <protection locked="0"/>
    </xf>
    <xf numFmtId="0" fontId="3" fillId="3" borderId="3" xfId="0" applyFont="1" applyFill="1" applyBorder="1" applyAlignment="1">
      <alignment vertical="center"/>
    </xf>
    <xf numFmtId="166" fontId="4" fillId="4" borderId="3" xfId="0" applyNumberFormat="1" applyFont="1" applyFill="1" applyBorder="1" applyAlignment="1" applyProtection="1">
      <alignment horizontal="center" vertical="center"/>
      <protection locked="0"/>
    </xf>
    <xf numFmtId="0" fontId="3" fillId="3" borderId="4" xfId="0" applyFont="1" applyFill="1" applyBorder="1" applyAlignment="1">
      <alignment vertical="center"/>
    </xf>
    <xf numFmtId="0" fontId="5" fillId="4" borderId="4" xfId="0" applyFont="1" applyFill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 applyProtection="1">
      <alignment horizontal="center" vertical="center"/>
      <protection locked="0"/>
    </xf>
    <xf numFmtId="164" fontId="5" fillId="0" borderId="4" xfId="0" applyNumberFormat="1" applyFont="1" applyBorder="1" applyAlignment="1" applyProtection="1">
      <alignment horizontal="center" vertical="center"/>
      <protection locked="0"/>
    </xf>
    <xf numFmtId="4" fontId="5" fillId="4" borderId="4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15" fontId="8" fillId="0" borderId="0" xfId="0" applyNumberFormat="1" applyFont="1" applyProtection="1">
      <protection locked="0"/>
    </xf>
    <xf numFmtId="0" fontId="9" fillId="0" borderId="0" xfId="0" applyFont="1" applyProtection="1">
      <protection locked="0"/>
    </xf>
    <xf numFmtId="164" fontId="9" fillId="0" borderId="0" xfId="1" applyFont="1" applyAlignment="1" applyProtection="1">
      <alignment horizontal="center"/>
      <protection locked="0"/>
    </xf>
    <xf numFmtId="0" fontId="9" fillId="0" borderId="0" xfId="0" applyFont="1"/>
    <xf numFmtId="0" fontId="11" fillId="4" borderId="0" xfId="0" applyFont="1" applyFill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/>
      <protection locked="0"/>
    </xf>
    <xf numFmtId="164" fontId="12" fillId="5" borderId="10" xfId="1" applyFont="1" applyFill="1" applyBorder="1" applyAlignment="1" applyProtection="1">
      <alignment horizontal="center" vertical="center" wrapText="1"/>
    </xf>
    <xf numFmtId="15" fontId="13" fillId="6" borderId="12" xfId="0" applyNumberFormat="1" applyFont="1" applyFill="1" applyBorder="1"/>
    <xf numFmtId="0" fontId="10" fillId="6" borderId="12" xfId="0" applyFont="1" applyFill="1" applyBorder="1"/>
    <xf numFmtId="0" fontId="14" fillId="6" borderId="12" xfId="0" applyFont="1" applyFill="1" applyBorder="1"/>
    <xf numFmtId="3" fontId="14" fillId="6" borderId="12" xfId="0" applyNumberFormat="1" applyFont="1" applyFill="1" applyBorder="1"/>
    <xf numFmtId="164" fontId="14" fillId="6" borderId="12" xfId="1" applyFont="1" applyFill="1" applyBorder="1" applyProtection="1"/>
    <xf numFmtId="164" fontId="10" fillId="6" borderId="12" xfId="1" applyFont="1" applyFill="1" applyBorder="1" applyAlignment="1" applyProtection="1">
      <alignment horizontal="center"/>
    </xf>
    <xf numFmtId="15" fontId="8" fillId="0" borderId="13" xfId="0" applyNumberFormat="1" applyFont="1" applyBorder="1" applyProtection="1">
      <protection locked="0"/>
    </xf>
    <xf numFmtId="0" fontId="9" fillId="0" borderId="13" xfId="0" applyFont="1" applyBorder="1" applyProtection="1">
      <protection locked="0"/>
    </xf>
    <xf numFmtId="3" fontId="9" fillId="0" borderId="13" xfId="0" applyNumberFormat="1" applyFont="1" applyBorder="1" applyProtection="1">
      <protection locked="0"/>
    </xf>
    <xf numFmtId="164" fontId="9" fillId="0" borderId="13" xfId="1" applyFont="1" applyBorder="1" applyProtection="1">
      <protection locked="0"/>
    </xf>
    <xf numFmtId="164" fontId="9" fillId="0" borderId="13" xfId="1" applyFont="1" applyBorder="1" applyAlignment="1" applyProtection="1">
      <alignment horizontal="center"/>
      <protection locked="0"/>
    </xf>
    <xf numFmtId="15" fontId="13" fillId="6" borderId="13" xfId="0" applyNumberFormat="1" applyFont="1" applyFill="1" applyBorder="1"/>
    <xf numFmtId="0" fontId="10" fillId="6" borderId="13" xfId="0" applyFont="1" applyFill="1" applyBorder="1"/>
    <xf numFmtId="0" fontId="14" fillId="6" borderId="13" xfId="0" applyFont="1" applyFill="1" applyBorder="1"/>
    <xf numFmtId="3" fontId="14" fillId="6" borderId="13" xfId="0" applyNumberFormat="1" applyFont="1" applyFill="1" applyBorder="1"/>
    <xf numFmtId="164" fontId="14" fillId="6" borderId="13" xfId="1" applyFont="1" applyFill="1" applyBorder="1" applyProtection="1"/>
    <xf numFmtId="164" fontId="10" fillId="6" borderId="13" xfId="1" applyFont="1" applyFill="1" applyBorder="1" applyAlignment="1" applyProtection="1">
      <alignment horizontal="center"/>
    </xf>
    <xf numFmtId="15" fontId="8" fillId="7" borderId="13" xfId="0" applyNumberFormat="1" applyFont="1" applyFill="1" applyBorder="1"/>
    <xf numFmtId="0" fontId="15" fillId="7" borderId="13" xfId="0" applyFont="1" applyFill="1" applyBorder="1"/>
    <xf numFmtId="0" fontId="16" fillId="7" borderId="13" xfId="0" applyFont="1" applyFill="1" applyBorder="1"/>
    <xf numFmtId="3" fontId="16" fillId="7" borderId="13" xfId="0" applyNumberFormat="1" applyFont="1" applyFill="1" applyBorder="1"/>
    <xf numFmtId="164" fontId="16" fillId="7" borderId="13" xfId="1" applyFont="1" applyFill="1" applyBorder="1" applyProtection="1"/>
    <xf numFmtId="164" fontId="15" fillId="7" borderId="13" xfId="1" applyFont="1" applyFill="1" applyBorder="1" applyAlignment="1" applyProtection="1">
      <alignment horizontal="center"/>
    </xf>
    <xf numFmtId="164" fontId="17" fillId="8" borderId="0" xfId="1" applyFont="1" applyFill="1" applyAlignment="1" applyProtection="1">
      <alignment shrinkToFit="1"/>
    </xf>
    <xf numFmtId="164" fontId="18" fillId="0" borderId="0" xfId="1" applyFont="1" applyFill="1" applyProtection="1"/>
    <xf numFmtId="164" fontId="19" fillId="0" borderId="0" xfId="1" applyFont="1" applyFill="1" applyAlignment="1" applyProtection="1">
      <alignment horizontal="center"/>
    </xf>
    <xf numFmtId="164" fontId="19" fillId="0" borderId="0" xfId="1" applyFont="1" applyFill="1" applyAlignment="1" applyProtection="1">
      <alignment horizontal="center"/>
      <protection locked="0"/>
    </xf>
    <xf numFmtId="164" fontId="9" fillId="4" borderId="0" xfId="1" applyFont="1" applyFill="1" applyAlignment="1" applyProtection="1">
      <alignment horizontal="center" shrinkToFit="1"/>
      <protection locked="0"/>
    </xf>
    <xf numFmtId="164" fontId="12" fillId="5" borderId="15" xfId="1" applyFont="1" applyFill="1" applyBorder="1" applyAlignment="1" applyProtection="1">
      <alignment horizontal="center" vertical="center" wrapText="1"/>
    </xf>
    <xf numFmtId="4" fontId="5" fillId="0" borderId="4" xfId="0" applyNumberFormat="1" applyFont="1" applyBorder="1" applyAlignment="1" applyProtection="1">
      <alignment horizontal="center" vertical="center"/>
      <protection locked="0"/>
    </xf>
    <xf numFmtId="15" fontId="8" fillId="7" borderId="16" xfId="0" applyNumberFormat="1" applyFont="1" applyFill="1" applyBorder="1"/>
    <xf numFmtId="0" fontId="15" fillId="7" borderId="16" xfId="0" applyFont="1" applyFill="1" applyBorder="1"/>
    <xf numFmtId="0" fontId="16" fillId="7" borderId="16" xfId="0" applyFont="1" applyFill="1" applyBorder="1"/>
    <xf numFmtId="3" fontId="16" fillId="7" borderId="16" xfId="0" applyNumberFormat="1" applyFont="1" applyFill="1" applyBorder="1"/>
    <xf numFmtId="164" fontId="16" fillId="7" borderId="16" xfId="1" applyFont="1" applyFill="1" applyBorder="1" applyProtection="1"/>
    <xf numFmtId="164" fontId="15" fillId="7" borderId="16" xfId="1" applyFont="1" applyFill="1" applyBorder="1" applyAlignment="1" applyProtection="1">
      <alignment horizontal="center"/>
    </xf>
    <xf numFmtId="0" fontId="10" fillId="0" borderId="0" xfId="0" applyFont="1" applyAlignment="1" applyProtection="1">
      <alignment horizontal="left"/>
      <protection locked="0"/>
    </xf>
    <xf numFmtId="0" fontId="9" fillId="0" borderId="0" xfId="0" applyFont="1" applyAlignment="1" applyProtection="1">
      <alignment horizontal="center"/>
      <protection locked="0"/>
    </xf>
    <xf numFmtId="0" fontId="10" fillId="0" borderId="0" xfId="0" applyFont="1" applyProtection="1">
      <protection locked="0"/>
    </xf>
    <xf numFmtId="164" fontId="10" fillId="0" borderId="0" xfId="1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left" indent="2"/>
      <protection locked="0"/>
    </xf>
    <xf numFmtId="0" fontId="7" fillId="0" borderId="0" xfId="0" applyFont="1"/>
    <xf numFmtId="164" fontId="9" fillId="0" borderId="0" xfId="1" applyFont="1" applyAlignment="1">
      <alignment horizontal="center"/>
    </xf>
    <xf numFmtId="164" fontId="12" fillId="5" borderId="10" xfId="1" applyFont="1" applyFill="1" applyBorder="1" applyAlignment="1">
      <alignment horizontal="center" vertical="center" wrapText="1"/>
    </xf>
    <xf numFmtId="164" fontId="12" fillId="5" borderId="15" xfId="1" applyFont="1" applyFill="1" applyBorder="1" applyAlignment="1">
      <alignment horizontal="center" vertical="center" wrapText="1"/>
    </xf>
    <xf numFmtId="164" fontId="10" fillId="6" borderId="12" xfId="1" applyFont="1" applyFill="1" applyBorder="1" applyAlignment="1">
      <alignment horizontal="center"/>
    </xf>
    <xf numFmtId="0" fontId="9" fillId="0" borderId="13" xfId="0" applyFont="1" applyBorder="1"/>
    <xf numFmtId="164" fontId="9" fillId="0" borderId="13" xfId="1" applyFont="1" applyBorder="1" applyAlignment="1">
      <alignment horizontal="center"/>
    </xf>
    <xf numFmtId="164" fontId="10" fillId="6" borderId="13" xfId="1" applyFont="1" applyFill="1" applyBorder="1" applyAlignment="1">
      <alignment horizontal="center"/>
    </xf>
    <xf numFmtId="164" fontId="15" fillId="7" borderId="13" xfId="1" applyFont="1" applyFill="1" applyBorder="1" applyAlignment="1">
      <alignment horizontal="center"/>
    </xf>
    <xf numFmtId="164" fontId="15" fillId="7" borderId="16" xfId="1" applyFont="1" applyFill="1" applyBorder="1" applyAlignment="1">
      <alignment horizontal="center"/>
    </xf>
    <xf numFmtId="0" fontId="15" fillId="9" borderId="13" xfId="0" applyFont="1" applyFill="1" applyBorder="1"/>
    <xf numFmtId="0" fontId="16" fillId="9" borderId="13" xfId="0" applyFont="1" applyFill="1" applyBorder="1"/>
    <xf numFmtId="164" fontId="15" fillId="9" borderId="13" xfId="1" applyFont="1" applyFill="1" applyBorder="1" applyAlignment="1">
      <alignment horizontal="center"/>
    </xf>
    <xf numFmtId="0" fontId="10" fillId="10" borderId="13" xfId="0" applyFont="1" applyFill="1" applyBorder="1"/>
    <xf numFmtId="0" fontId="14" fillId="10" borderId="13" xfId="0" applyFont="1" applyFill="1" applyBorder="1"/>
    <xf numFmtId="164" fontId="10" fillId="10" borderId="13" xfId="1" applyFont="1" applyFill="1" applyBorder="1" applyAlignment="1">
      <alignment horizontal="center"/>
    </xf>
    <xf numFmtId="0" fontId="15" fillId="11" borderId="16" xfId="0" applyFont="1" applyFill="1" applyBorder="1"/>
    <xf numFmtId="0" fontId="16" fillId="11" borderId="16" xfId="0" applyFont="1" applyFill="1" applyBorder="1"/>
    <xf numFmtId="164" fontId="15" fillId="11" borderId="16" xfId="1" applyFont="1" applyFill="1" applyBorder="1" applyAlignment="1">
      <alignment horizontal="center"/>
    </xf>
    <xf numFmtId="0" fontId="10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0" fillId="0" borderId="0" xfId="0" applyFont="1"/>
    <xf numFmtId="164" fontId="10" fillId="0" borderId="0" xfId="1" applyFont="1" applyAlignment="1">
      <alignment horizontal="center"/>
    </xf>
    <xf numFmtId="0" fontId="10" fillId="0" borderId="0" xfId="0" applyFont="1" applyAlignment="1">
      <alignment horizontal="left" indent="2"/>
    </xf>
    <xf numFmtId="0" fontId="7" fillId="0" borderId="0" xfId="0" applyFont="1" applyAlignment="1" applyProtection="1">
      <alignment horizontal="center"/>
      <protection locked="0"/>
    </xf>
    <xf numFmtId="15" fontId="13" fillId="0" borderId="0" xfId="0" applyNumberFormat="1" applyFont="1" applyProtection="1">
      <protection locked="0"/>
    </xf>
    <xf numFmtId="0" fontId="10" fillId="15" borderId="35" xfId="0" applyFont="1" applyFill="1" applyBorder="1" applyAlignment="1">
      <alignment horizontal="center" vertical="center"/>
    </xf>
    <xf numFmtId="0" fontId="9" fillId="0" borderId="18" xfId="0" applyFont="1" applyBorder="1" applyAlignment="1">
      <alignment vertical="top" wrapText="1"/>
    </xf>
    <xf numFmtId="0" fontId="14" fillId="0" borderId="18" xfId="0" applyFont="1" applyBorder="1" applyAlignment="1">
      <alignment vertical="top" wrapText="1"/>
    </xf>
    <xf numFmtId="0" fontId="9" fillId="0" borderId="0" xfId="0" applyFont="1" applyAlignment="1">
      <alignment wrapText="1"/>
    </xf>
    <xf numFmtId="0" fontId="9" fillId="0" borderId="29" xfId="0" applyFont="1" applyBorder="1" applyAlignment="1">
      <alignment vertical="top" wrapText="1"/>
    </xf>
    <xf numFmtId="0" fontId="9" fillId="0" borderId="45" xfId="0" applyFont="1" applyBorder="1" applyAlignment="1">
      <alignment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/>
    <xf numFmtId="0" fontId="9" fillId="0" borderId="0" xfId="0" applyFont="1" applyAlignment="1">
      <alignment horizontal="left" indent="2"/>
    </xf>
    <xf numFmtId="0" fontId="9" fillId="0" borderId="0" xfId="0" applyFont="1" applyAlignment="1">
      <alignment horizontal="left" indent="3"/>
    </xf>
    <xf numFmtId="0" fontId="25" fillId="0" borderId="0" xfId="0" applyFont="1"/>
    <xf numFmtId="0" fontId="27" fillId="0" borderId="0" xfId="0" applyFont="1"/>
    <xf numFmtId="164" fontId="28" fillId="0" borderId="0" xfId="1" applyFont="1" applyFill="1" applyAlignment="1" applyProtection="1"/>
    <xf numFmtId="164" fontId="29" fillId="8" borderId="0" xfId="1" applyFont="1" applyFill="1" applyAlignment="1" applyProtection="1">
      <protection locked="0"/>
    </xf>
    <xf numFmtId="0" fontId="25" fillId="0" borderId="0" xfId="0" applyFont="1" applyProtection="1">
      <protection locked="0"/>
    </xf>
    <xf numFmtId="0" fontId="30" fillId="0" borderId="0" xfId="0" applyFont="1" applyProtection="1">
      <protection locked="0"/>
    </xf>
    <xf numFmtId="0" fontId="31" fillId="0" borderId="0" xfId="0" applyFont="1" applyProtection="1">
      <protection locked="0"/>
    </xf>
    <xf numFmtId="0" fontId="27" fillId="0" borderId="0" xfId="0" applyFont="1" applyProtection="1">
      <protection locked="0"/>
    </xf>
    <xf numFmtId="164" fontId="32" fillId="0" borderId="0" xfId="1" applyFont="1" applyFill="1" applyProtection="1"/>
    <xf numFmtId="164" fontId="28" fillId="0" borderId="0" xfId="1" applyFont="1" applyFill="1" applyAlignment="1" applyProtection="1">
      <alignment horizontal="center"/>
      <protection locked="0"/>
    </xf>
    <xf numFmtId="0" fontId="33" fillId="0" borderId="0" xfId="0" applyFont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164" fontId="25" fillId="0" borderId="0" xfId="1" applyFont="1" applyAlignment="1" applyProtection="1">
      <alignment horizontal="center"/>
      <protection locked="0"/>
    </xf>
    <xf numFmtId="164" fontId="26" fillId="14" borderId="18" xfId="1" applyFont="1" applyFill="1" applyBorder="1" applyAlignment="1" applyProtection="1">
      <alignment horizontal="center" vertical="center"/>
      <protection locked="0"/>
    </xf>
    <xf numFmtId="164" fontId="26" fillId="14" borderId="37" xfId="1" applyFont="1" applyFill="1" applyBorder="1" applyAlignment="1" applyProtection="1">
      <alignment horizontal="center" vertical="center"/>
    </xf>
    <xf numFmtId="164" fontId="26" fillId="14" borderId="38" xfId="1" applyFont="1" applyFill="1" applyBorder="1" applyAlignment="1" applyProtection="1">
      <alignment horizontal="center" vertical="center"/>
      <protection locked="0"/>
    </xf>
    <xf numFmtId="0" fontId="34" fillId="21" borderId="30" xfId="0" applyFont="1" applyFill="1" applyBorder="1" applyAlignment="1">
      <alignment horizontal="center" vertical="center"/>
    </xf>
    <xf numFmtId="0" fontId="34" fillId="21" borderId="31" xfId="0" applyFont="1" applyFill="1" applyBorder="1" applyAlignment="1">
      <alignment horizontal="center" vertical="center" wrapText="1"/>
    </xf>
    <xf numFmtId="0" fontId="34" fillId="21" borderId="32" xfId="0" applyFont="1" applyFill="1" applyBorder="1" applyAlignment="1">
      <alignment horizontal="center" vertical="center"/>
    </xf>
    <xf numFmtId="164" fontId="34" fillId="21" borderId="32" xfId="1" applyFont="1" applyFill="1" applyBorder="1" applyAlignment="1" applyProtection="1">
      <alignment horizontal="center" vertical="center"/>
    </xf>
    <xf numFmtId="0" fontId="27" fillId="25" borderId="33" xfId="0" applyFont="1" applyFill="1" applyBorder="1" applyAlignment="1">
      <alignment horizontal="center" vertical="center"/>
    </xf>
    <xf numFmtId="0" fontId="27" fillId="25" borderId="33" xfId="0" applyFont="1" applyFill="1" applyBorder="1" applyAlignment="1">
      <alignment horizontal="center" vertical="center" wrapText="1"/>
    </xf>
    <xf numFmtId="0" fontId="34" fillId="25" borderId="33" xfId="0" applyFont="1" applyFill="1" applyBorder="1" applyAlignment="1">
      <alignment horizontal="center" vertical="center"/>
    </xf>
    <xf numFmtId="164" fontId="27" fillId="25" borderId="33" xfId="1" applyFont="1" applyFill="1" applyBorder="1" applyAlignment="1" applyProtection="1">
      <alignment horizontal="center" vertical="center"/>
    </xf>
    <xf numFmtId="0" fontId="25" fillId="23" borderId="13" xfId="0" applyFont="1" applyFill="1" applyBorder="1" applyAlignment="1">
      <alignment horizontal="center"/>
    </xf>
    <xf numFmtId="0" fontId="35" fillId="23" borderId="13" xfId="0" applyFont="1" applyFill="1" applyBorder="1"/>
    <xf numFmtId="164" fontId="25" fillId="23" borderId="13" xfId="1" applyFont="1" applyFill="1" applyBorder="1" applyAlignment="1" applyProtection="1">
      <alignment horizontal="center"/>
    </xf>
    <xf numFmtId="165" fontId="25" fillId="0" borderId="13" xfId="0" applyNumberFormat="1" applyFont="1" applyBorder="1" applyAlignment="1" applyProtection="1">
      <alignment horizontal="center"/>
      <protection locked="0"/>
    </xf>
    <xf numFmtId="0" fontId="25" fillId="0" borderId="13" xfId="0" applyFont="1" applyBorder="1" applyAlignment="1" applyProtection="1">
      <alignment horizontal="center"/>
      <protection locked="0"/>
    </xf>
    <xf numFmtId="0" fontId="25" fillId="13" borderId="13" xfId="0" applyFont="1" applyFill="1" applyBorder="1" applyAlignment="1">
      <alignment horizontal="center"/>
    </xf>
    <xf numFmtId="0" fontId="25" fillId="0" borderId="13" xfId="0" applyFont="1" applyBorder="1" applyProtection="1">
      <protection locked="0"/>
    </xf>
    <xf numFmtId="164" fontId="25" fillId="0" borderId="13" xfId="1" applyFont="1" applyBorder="1" applyAlignment="1" applyProtection="1">
      <alignment horizontal="center"/>
      <protection locked="0"/>
    </xf>
    <xf numFmtId="165" fontId="25" fillId="23" borderId="13" xfId="0" applyNumberFormat="1" applyFont="1" applyFill="1" applyBorder="1" applyAlignment="1">
      <alignment horizontal="center"/>
    </xf>
    <xf numFmtId="0" fontId="36" fillId="0" borderId="0" xfId="0" applyFont="1"/>
    <xf numFmtId="165" fontId="27" fillId="25" borderId="13" xfId="0" applyNumberFormat="1" applyFont="1" applyFill="1" applyBorder="1" applyAlignment="1">
      <alignment horizontal="center" vertical="center"/>
    </xf>
    <xf numFmtId="0" fontId="27" fillId="25" borderId="13" xfId="0" applyFont="1" applyFill="1" applyBorder="1" applyAlignment="1">
      <alignment horizontal="center" vertical="center" wrapText="1"/>
    </xf>
    <xf numFmtId="0" fontId="27" fillId="25" borderId="13" xfId="0" applyFont="1" applyFill="1" applyBorder="1" applyAlignment="1">
      <alignment horizontal="center" vertical="center"/>
    </xf>
    <xf numFmtId="0" fontId="34" fillId="25" borderId="13" xfId="0" applyFont="1" applyFill="1" applyBorder="1" applyAlignment="1">
      <alignment horizontal="center" vertical="center"/>
    </xf>
    <xf numFmtId="164" fontId="27" fillId="25" borderId="13" xfId="1" applyFont="1" applyFill="1" applyBorder="1" applyAlignment="1" applyProtection="1">
      <alignment horizontal="center" vertical="center"/>
    </xf>
    <xf numFmtId="0" fontId="25" fillId="0" borderId="13" xfId="0" applyFont="1" applyBorder="1" applyAlignment="1" applyProtection="1">
      <alignment horizontal="center" vertical="center"/>
      <protection locked="0"/>
    </xf>
    <xf numFmtId="0" fontId="27" fillId="0" borderId="13" xfId="0" applyFont="1" applyBorder="1" applyAlignment="1" applyProtection="1">
      <alignment horizontal="left"/>
      <protection locked="0"/>
    </xf>
    <xf numFmtId="165" fontId="25" fillId="0" borderId="34" xfId="0" applyNumberFormat="1" applyFont="1" applyBorder="1" applyAlignment="1" applyProtection="1">
      <alignment horizontal="center"/>
      <protection locked="0"/>
    </xf>
    <xf numFmtId="0" fontId="25" fillId="0" borderId="34" xfId="0" applyFont="1" applyBorder="1" applyAlignment="1" applyProtection="1">
      <alignment horizontal="center"/>
      <protection locked="0"/>
    </xf>
    <xf numFmtId="0" fontId="25" fillId="13" borderId="34" xfId="0" applyFont="1" applyFill="1" applyBorder="1" applyAlignment="1">
      <alignment horizontal="center"/>
    </xf>
    <xf numFmtId="0" fontId="25" fillId="0" borderId="34" xfId="0" applyFont="1" applyBorder="1" applyAlignment="1" applyProtection="1">
      <alignment horizontal="left"/>
      <protection locked="0"/>
    </xf>
    <xf numFmtId="165" fontId="26" fillId="10" borderId="35" xfId="0" applyNumberFormat="1" applyFont="1" applyFill="1" applyBorder="1" applyAlignment="1">
      <alignment horizontal="center"/>
    </xf>
    <xf numFmtId="0" fontId="26" fillId="10" borderId="35" xfId="0" applyFont="1" applyFill="1" applyBorder="1" applyAlignment="1">
      <alignment horizontal="center"/>
    </xf>
    <xf numFmtId="164" fontId="26" fillId="10" borderId="35" xfId="1" applyFont="1" applyFill="1" applyBorder="1" applyAlignment="1" applyProtection="1">
      <alignment horizontal="center"/>
    </xf>
    <xf numFmtId="165" fontId="34" fillId="21" borderId="36" xfId="0" applyNumberFormat="1" applyFont="1" applyFill="1" applyBorder="1" applyAlignment="1">
      <alignment horizontal="center" vertical="center"/>
    </xf>
    <xf numFmtId="0" fontId="34" fillId="21" borderId="31" xfId="0" applyFont="1" applyFill="1" applyBorder="1" applyAlignment="1">
      <alignment horizontal="center" vertical="center"/>
    </xf>
    <xf numFmtId="164" fontId="34" fillId="21" borderId="31" xfId="1" applyFont="1" applyFill="1" applyBorder="1" applyAlignment="1" applyProtection="1">
      <alignment horizontal="center" vertical="center"/>
    </xf>
    <xf numFmtId="164" fontId="34" fillId="21" borderId="39" xfId="1" applyFont="1" applyFill="1" applyBorder="1" applyAlignment="1" applyProtection="1">
      <alignment horizontal="center" vertical="center"/>
    </xf>
    <xf numFmtId="165" fontId="25" fillId="23" borderId="13" xfId="0" applyNumberFormat="1" applyFont="1" applyFill="1" applyBorder="1" applyAlignment="1">
      <alignment horizontal="center" vertical="center"/>
    </xf>
    <xf numFmtId="0" fontId="25" fillId="23" borderId="13" xfId="0" applyFont="1" applyFill="1" applyBorder="1" applyAlignment="1">
      <alignment horizontal="center" vertical="center" wrapText="1"/>
    </xf>
    <xf numFmtId="0" fontId="25" fillId="23" borderId="13" xfId="0" applyFont="1" applyFill="1" applyBorder="1" applyAlignment="1">
      <alignment horizontal="center" vertical="center"/>
    </xf>
    <xf numFmtId="164" fontId="25" fillId="23" borderId="13" xfId="1" applyFont="1" applyFill="1" applyBorder="1" applyAlignment="1" applyProtection="1">
      <alignment horizontal="center" vertical="center"/>
    </xf>
    <xf numFmtId="165" fontId="25" fillId="0" borderId="13" xfId="0" applyNumberFormat="1" applyFont="1" applyBorder="1" applyAlignment="1" applyProtection="1">
      <alignment horizontal="center" vertical="center"/>
      <protection locked="0"/>
    </xf>
    <xf numFmtId="0" fontId="25" fillId="0" borderId="13" xfId="0" applyFont="1" applyBorder="1" applyAlignment="1" applyProtection="1">
      <alignment horizontal="center" vertical="center" wrapText="1"/>
      <protection locked="0"/>
    </xf>
    <xf numFmtId="0" fontId="25" fillId="0" borderId="13" xfId="0" applyFont="1" applyBorder="1" applyAlignment="1" applyProtection="1">
      <alignment horizontal="left"/>
      <protection locked="0"/>
    </xf>
    <xf numFmtId="164" fontId="37" fillId="0" borderId="0" xfId="1" applyFont="1" applyFill="1" applyProtection="1">
      <protection locked="0"/>
    </xf>
    <xf numFmtId="165" fontId="34" fillId="15" borderId="13" xfId="0" applyNumberFormat="1" applyFont="1" applyFill="1" applyBorder="1" applyAlignment="1">
      <alignment horizontal="center"/>
    </xf>
    <xf numFmtId="0" fontId="34" fillId="15" borderId="13" xfId="0" applyFont="1" applyFill="1" applyBorder="1" applyAlignment="1">
      <alignment horizontal="center"/>
    </xf>
    <xf numFmtId="0" fontId="34" fillId="15" borderId="13" xfId="0" applyFont="1" applyFill="1" applyBorder="1"/>
    <xf numFmtId="164" fontId="34" fillId="15" borderId="13" xfId="1" applyFont="1" applyFill="1" applyBorder="1" applyAlignment="1" applyProtection="1">
      <alignment horizontal="center"/>
    </xf>
    <xf numFmtId="0" fontId="38" fillId="0" borderId="0" xfId="0" applyFont="1" applyProtection="1">
      <protection locked="0"/>
    </xf>
    <xf numFmtId="0" fontId="26" fillId="14" borderId="35" xfId="0" applyFont="1" applyFill="1" applyBorder="1" applyAlignment="1">
      <alignment horizontal="center"/>
    </xf>
    <xf numFmtId="164" fontId="26" fillId="14" borderId="35" xfId="1" applyFont="1" applyFill="1" applyBorder="1" applyAlignment="1" applyProtection="1">
      <alignment horizontal="center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 applyProtection="1">
      <protection locked="0"/>
    </xf>
    <xf numFmtId="164" fontId="26" fillId="0" borderId="0" xfId="1" applyFont="1" applyAlignment="1" applyProtection="1">
      <alignment horizontal="center"/>
      <protection locked="0"/>
    </xf>
    <xf numFmtId="0" fontId="26" fillId="0" borderId="0" xfId="0" applyFont="1" applyAlignment="1" applyProtection="1">
      <alignment horizontal="left" indent="2"/>
      <protection locked="0"/>
    </xf>
    <xf numFmtId="0" fontId="28" fillId="0" borderId="0" xfId="0" applyFont="1" applyAlignment="1" applyProtection="1">
      <alignment horizontal="center"/>
      <protection locked="0"/>
    </xf>
    <xf numFmtId="0" fontId="38" fillId="0" borderId="0" xfId="0" applyFont="1" applyAlignment="1">
      <alignment horizontal="center"/>
    </xf>
    <xf numFmtId="164" fontId="36" fillId="0" borderId="0" xfId="1" applyFont="1" applyFill="1" applyProtection="1"/>
    <xf numFmtId="164" fontId="27" fillId="8" borderId="0" xfId="1" applyFont="1" applyFill="1" applyAlignment="1" applyProtection="1"/>
    <xf numFmtId="164" fontId="36" fillId="0" borderId="0" xfId="1" applyFont="1" applyFill="1" applyAlignment="1" applyProtection="1">
      <alignment horizontal="center"/>
    </xf>
    <xf numFmtId="0" fontId="36" fillId="0" borderId="0" xfId="0" applyFont="1" applyAlignment="1">
      <alignment horizontal="center" vertical="top"/>
    </xf>
    <xf numFmtId="165" fontId="36" fillId="0" borderId="0" xfId="0" applyNumberFormat="1" applyFont="1" applyAlignment="1">
      <alignment horizontal="left" vertical="top"/>
    </xf>
    <xf numFmtId="0" fontId="36" fillId="0" borderId="0" xfId="0" applyFont="1" applyAlignment="1">
      <alignment horizontal="left" vertical="top"/>
    </xf>
    <xf numFmtId="164" fontId="39" fillId="0" borderId="0" xfId="1" applyFont="1" applyAlignment="1" applyProtection="1">
      <alignment horizontal="left" vertical="top" wrapText="1"/>
    </xf>
    <xf numFmtId="164" fontId="36" fillId="0" borderId="0" xfId="1" applyFont="1" applyAlignment="1" applyProtection="1">
      <alignment horizontal="left" vertical="top" wrapText="1"/>
    </xf>
    <xf numFmtId="0" fontId="36" fillId="0" borderId="0" xfId="0" applyFont="1" applyProtection="1">
      <protection locked="0"/>
    </xf>
    <xf numFmtId="0" fontId="40" fillId="0" borderId="0" xfId="0" applyFont="1" applyAlignment="1">
      <alignment vertical="center"/>
    </xf>
    <xf numFmtId="164" fontId="26" fillId="18" borderId="60" xfId="1" applyFont="1" applyFill="1" applyBorder="1" applyAlignment="1" applyProtection="1">
      <alignment vertical="center" wrapText="1"/>
    </xf>
    <xf numFmtId="164" fontId="26" fillId="18" borderId="14" xfId="1" applyFont="1" applyFill="1" applyBorder="1" applyAlignment="1" applyProtection="1">
      <alignment vertical="center" wrapText="1"/>
    </xf>
    <xf numFmtId="0" fontId="41" fillId="0" borderId="0" xfId="0" applyFont="1"/>
    <xf numFmtId="164" fontId="26" fillId="16" borderId="49" xfId="1" applyFont="1" applyFill="1" applyBorder="1" applyAlignment="1" applyProtection="1">
      <alignment vertical="center" wrapText="1"/>
    </xf>
    <xf numFmtId="164" fontId="26" fillId="16" borderId="51" xfId="1" applyFont="1" applyFill="1" applyBorder="1" applyAlignment="1" applyProtection="1">
      <alignment horizontal="center" vertical="center"/>
    </xf>
    <xf numFmtId="164" fontId="26" fillId="16" borderId="35" xfId="1" applyFont="1" applyFill="1" applyBorder="1" applyAlignment="1" applyProtection="1">
      <alignment vertical="center" wrapText="1"/>
    </xf>
    <xf numFmtId="0" fontId="38" fillId="0" borderId="0" xfId="0" applyFont="1" applyAlignment="1">
      <alignment horizontal="center" vertical="center"/>
    </xf>
    <xf numFmtId="164" fontId="26" fillId="16" borderId="9" xfId="1" applyFont="1" applyFill="1" applyBorder="1" applyAlignment="1" applyProtection="1">
      <alignment horizontal="center" vertical="center" wrapText="1"/>
    </xf>
    <xf numFmtId="164" fontId="26" fillId="16" borderId="53" xfId="1" applyFont="1" applyFill="1" applyBorder="1" applyAlignment="1" applyProtection="1">
      <alignment horizontal="center" vertical="center" wrapText="1"/>
    </xf>
    <xf numFmtId="164" fontId="26" fillId="16" borderId="52" xfId="1" applyFont="1" applyFill="1" applyBorder="1" applyAlignment="1" applyProtection="1">
      <alignment horizontal="center" vertical="center" wrapText="1"/>
    </xf>
    <xf numFmtId="164" fontId="26" fillId="16" borderId="10" xfId="1" applyFont="1" applyFill="1" applyBorder="1" applyAlignment="1" applyProtection="1">
      <alignment horizontal="center" vertical="center" wrapText="1"/>
    </xf>
    <xf numFmtId="164" fontId="26" fillId="16" borderId="15" xfId="1" applyFont="1" applyFill="1" applyBorder="1" applyAlignment="1" applyProtection="1">
      <alignment horizontal="center" vertical="center" wrapText="1"/>
    </xf>
    <xf numFmtId="164" fontId="26" fillId="24" borderId="9" xfId="1" applyFont="1" applyFill="1" applyBorder="1" applyAlignment="1" applyProtection="1">
      <alignment horizontal="center" vertical="center" wrapText="1"/>
    </xf>
    <xf numFmtId="164" fontId="26" fillId="24" borderId="53" xfId="1" applyFont="1" applyFill="1" applyBorder="1" applyAlignment="1" applyProtection="1">
      <alignment horizontal="center" vertical="center" wrapText="1"/>
    </xf>
    <xf numFmtId="164" fontId="26" fillId="24" borderId="15" xfId="1" applyFont="1" applyFill="1" applyBorder="1" applyAlignment="1" applyProtection="1">
      <alignment horizontal="center" vertical="center" wrapText="1"/>
    </xf>
    <xf numFmtId="164" fontId="26" fillId="22" borderId="9" xfId="1" applyFont="1" applyFill="1" applyBorder="1" applyAlignment="1" applyProtection="1">
      <alignment horizontal="center" vertical="center" wrapText="1"/>
    </xf>
    <xf numFmtId="164" fontId="26" fillId="22" borderId="69" xfId="1" applyFont="1" applyFill="1" applyBorder="1" applyAlignment="1" applyProtection="1">
      <alignment horizontal="center" vertical="center" wrapText="1"/>
    </xf>
    <xf numFmtId="164" fontId="26" fillId="22" borderId="10" xfId="1" applyFont="1" applyFill="1" applyBorder="1" applyAlignment="1" applyProtection="1">
      <alignment horizontal="center" vertical="center" wrapText="1"/>
    </xf>
    <xf numFmtId="164" fontId="26" fillId="18" borderId="10" xfId="1" applyFont="1" applyFill="1" applyBorder="1" applyAlignment="1" applyProtection="1">
      <alignment horizontal="center" vertical="center" wrapText="1"/>
    </xf>
    <xf numFmtId="164" fontId="26" fillId="18" borderId="52" xfId="1" applyFont="1" applyFill="1" applyBorder="1" applyAlignment="1" applyProtection="1">
      <alignment horizontal="center" vertical="center" wrapText="1"/>
    </xf>
    <xf numFmtId="164" fontId="26" fillId="18" borderId="15" xfId="1" applyFont="1" applyFill="1" applyBorder="1" applyAlignment="1" applyProtection="1">
      <alignment horizontal="center" vertical="center" wrapText="1"/>
    </xf>
    <xf numFmtId="164" fontId="26" fillId="15" borderId="9" xfId="1" applyFont="1" applyFill="1" applyBorder="1" applyAlignment="1" applyProtection="1">
      <alignment horizontal="center" vertical="center" wrapText="1"/>
    </xf>
    <xf numFmtId="164" fontId="26" fillId="15" borderId="53" xfId="1" applyFont="1" applyFill="1" applyBorder="1" applyAlignment="1" applyProtection="1">
      <alignment horizontal="center" vertical="center" wrapText="1"/>
    </xf>
    <xf numFmtId="164" fontId="26" fillId="15" borderId="15" xfId="1" applyFont="1" applyFill="1" applyBorder="1" applyAlignment="1" applyProtection="1">
      <alignment horizontal="center" vertical="center" wrapText="1"/>
    </xf>
    <xf numFmtId="164" fontId="26" fillId="6" borderId="69" xfId="1" applyFont="1" applyFill="1" applyBorder="1" applyAlignment="1" applyProtection="1">
      <alignment horizontal="center" vertical="center" wrapText="1"/>
    </xf>
    <xf numFmtId="164" fontId="26" fillId="6" borderId="53" xfId="1" applyFont="1" applyFill="1" applyBorder="1" applyAlignment="1" applyProtection="1">
      <alignment horizontal="center" vertical="center" wrapText="1"/>
    </xf>
    <xf numFmtId="164" fontId="26" fillId="6" borderId="15" xfId="1" applyFont="1" applyFill="1" applyBorder="1" applyAlignment="1" applyProtection="1">
      <alignment horizontal="center" vertical="center" wrapText="1"/>
    </xf>
    <xf numFmtId="164" fontId="26" fillId="19" borderId="69" xfId="1" applyFont="1" applyFill="1" applyBorder="1" applyAlignment="1" applyProtection="1">
      <alignment horizontal="center" vertical="center" wrapText="1"/>
    </xf>
    <xf numFmtId="164" fontId="26" fillId="19" borderId="53" xfId="1" applyFont="1" applyFill="1" applyBorder="1" applyAlignment="1" applyProtection="1">
      <alignment horizontal="center" vertical="center" wrapText="1"/>
    </xf>
    <xf numFmtId="164" fontId="26" fillId="19" borderId="15" xfId="1" applyFont="1" applyFill="1" applyBorder="1" applyAlignment="1" applyProtection="1">
      <alignment horizontal="center" vertical="center" wrapText="1"/>
    </xf>
    <xf numFmtId="0" fontId="25" fillId="0" borderId="0" xfId="0" applyFont="1" applyAlignment="1" applyProtection="1">
      <alignment vertical="center"/>
      <protection locked="0"/>
    </xf>
    <xf numFmtId="0" fontId="38" fillId="0" borderId="0" xfId="0" applyFont="1" applyAlignment="1" applyProtection="1">
      <alignment horizontal="center"/>
      <protection locked="0"/>
    </xf>
    <xf numFmtId="165" fontId="26" fillId="17" borderId="54" xfId="0" applyNumberFormat="1" applyFont="1" applyFill="1" applyBorder="1" applyAlignment="1" applyProtection="1">
      <alignment horizontal="center"/>
      <protection locked="0"/>
    </xf>
    <xf numFmtId="0" fontId="35" fillId="17" borderId="12" xfId="0" applyFont="1" applyFill="1" applyBorder="1" applyProtection="1">
      <protection locked="0"/>
    </xf>
    <xf numFmtId="164" fontId="26" fillId="17" borderId="12" xfId="1" applyFont="1" applyFill="1" applyBorder="1" applyAlignment="1" applyProtection="1">
      <alignment horizontal="center" wrapText="1"/>
    </xf>
    <xf numFmtId="164" fontId="26" fillId="17" borderId="55" xfId="1" applyFont="1" applyFill="1" applyBorder="1" applyAlignment="1" applyProtection="1">
      <alignment horizontal="center" wrapText="1"/>
    </xf>
    <xf numFmtId="164" fontId="26" fillId="17" borderId="63" xfId="1" applyFont="1" applyFill="1" applyBorder="1" applyAlignment="1" applyProtection="1">
      <alignment horizontal="center" wrapText="1"/>
      <protection locked="0"/>
    </xf>
    <xf numFmtId="164" fontId="26" fillId="17" borderId="64" xfId="1" applyFont="1" applyFill="1" applyBorder="1" applyAlignment="1" applyProtection="1">
      <alignment horizontal="center" wrapText="1"/>
      <protection locked="0"/>
    </xf>
    <xf numFmtId="164" fontId="26" fillId="17" borderId="65" xfId="1" applyFont="1" applyFill="1" applyBorder="1" applyAlignment="1" applyProtection="1">
      <alignment horizontal="center" wrapText="1"/>
      <protection locked="0"/>
    </xf>
    <xf numFmtId="164" fontId="26" fillId="17" borderId="54" xfId="1" applyFont="1" applyFill="1" applyBorder="1" applyAlignment="1" applyProtection="1">
      <alignment horizontal="center" wrapText="1"/>
      <protection locked="0"/>
    </xf>
    <xf numFmtId="164" fontId="26" fillId="17" borderId="12" xfId="1" applyFont="1" applyFill="1" applyBorder="1" applyAlignment="1" applyProtection="1">
      <alignment horizontal="center" wrapText="1"/>
      <protection locked="0"/>
    </xf>
    <xf numFmtId="164" fontId="26" fillId="17" borderId="55" xfId="1" applyFont="1" applyFill="1" applyBorder="1" applyAlignment="1" applyProtection="1">
      <alignment horizontal="center" wrapText="1"/>
      <protection locked="0"/>
    </xf>
    <xf numFmtId="0" fontId="25" fillId="8" borderId="0" xfId="0" applyFont="1" applyFill="1" applyAlignment="1" applyProtection="1">
      <alignment horizontal="center"/>
      <protection locked="0"/>
    </xf>
    <xf numFmtId="0" fontId="31" fillId="0" borderId="0" xfId="0" applyFont="1" applyAlignment="1" applyProtection="1">
      <alignment horizontal="center"/>
      <protection locked="0"/>
    </xf>
    <xf numFmtId="165" fontId="26" fillId="6" borderId="56" xfId="0" applyNumberFormat="1" applyFont="1" applyFill="1" applyBorder="1" applyAlignment="1" applyProtection="1">
      <alignment horizontal="center"/>
      <protection locked="0"/>
    </xf>
    <xf numFmtId="0" fontId="35" fillId="6" borderId="13" xfId="0" applyFont="1" applyFill="1" applyBorder="1" applyProtection="1">
      <protection locked="0"/>
    </xf>
    <xf numFmtId="164" fontId="26" fillId="6" borderId="13" xfId="1" applyFont="1" applyFill="1" applyBorder="1" applyAlignment="1" applyProtection="1">
      <alignment horizontal="center" wrapText="1"/>
    </xf>
    <xf numFmtId="164" fontId="26" fillId="6" borderId="57" xfId="1" applyFont="1" applyFill="1" applyBorder="1" applyAlignment="1" applyProtection="1">
      <alignment horizontal="center" wrapText="1"/>
    </xf>
    <xf numFmtId="164" fontId="26" fillId="6" borderId="56" xfId="1" applyFont="1" applyFill="1" applyBorder="1" applyAlignment="1" applyProtection="1">
      <alignment horizontal="center" wrapText="1"/>
    </xf>
    <xf numFmtId="164" fontId="26" fillId="6" borderId="66" xfId="1" applyFont="1" applyFill="1" applyBorder="1" applyAlignment="1" applyProtection="1">
      <alignment horizontal="center" wrapText="1"/>
    </xf>
    <xf numFmtId="164" fontId="26" fillId="6" borderId="67" xfId="1" applyFont="1" applyFill="1" applyBorder="1" applyAlignment="1" applyProtection="1">
      <alignment horizontal="center" wrapText="1"/>
    </xf>
    <xf numFmtId="164" fontId="26" fillId="6" borderId="68" xfId="1" applyFont="1" applyFill="1" applyBorder="1" applyAlignment="1" applyProtection="1">
      <alignment horizontal="center" wrapText="1"/>
    </xf>
    <xf numFmtId="164" fontId="26" fillId="0" borderId="13" xfId="1" applyFont="1" applyBorder="1" applyAlignment="1" applyProtection="1">
      <alignment horizontal="center" wrapText="1"/>
    </xf>
    <xf numFmtId="164" fontId="26" fillId="0" borderId="57" xfId="1" applyFont="1" applyBorder="1" applyAlignment="1" applyProtection="1">
      <alignment horizontal="center" wrapText="1"/>
    </xf>
    <xf numFmtId="164" fontId="26" fillId="0" borderId="0" xfId="0" applyNumberFormat="1" applyFont="1" applyProtection="1">
      <protection locked="0"/>
    </xf>
    <xf numFmtId="165" fontId="25" fillId="0" borderId="56" xfId="0" applyNumberFormat="1" applyFont="1" applyBorder="1" applyAlignment="1" applyProtection="1">
      <alignment horizontal="center"/>
      <protection locked="0"/>
    </xf>
    <xf numFmtId="164" fontId="25" fillId="0" borderId="56" xfId="1" applyFont="1" applyBorder="1" applyAlignment="1" applyProtection="1">
      <alignment horizontal="center" wrapText="1"/>
      <protection locked="0"/>
    </xf>
    <xf numFmtId="164" fontId="25" fillId="0" borderId="13" xfId="1" applyFont="1" applyBorder="1" applyAlignment="1" applyProtection="1">
      <alignment horizontal="center" wrapText="1"/>
      <protection locked="0"/>
    </xf>
    <xf numFmtId="164" fontId="25" fillId="0" borderId="57" xfId="1" applyFont="1" applyBorder="1" applyAlignment="1" applyProtection="1">
      <alignment horizontal="center" wrapText="1"/>
      <protection locked="0"/>
    </xf>
    <xf numFmtId="164" fontId="25" fillId="0" borderId="66" xfId="1" applyFont="1" applyBorder="1" applyAlignment="1" applyProtection="1">
      <alignment horizontal="center" wrapText="1"/>
      <protection locked="0"/>
    </xf>
    <xf numFmtId="164" fontId="25" fillId="0" borderId="67" xfId="1" applyFont="1" applyBorder="1" applyAlignment="1" applyProtection="1">
      <alignment horizontal="center" wrapText="1"/>
      <protection locked="0"/>
    </xf>
    <xf numFmtId="164" fontId="25" fillId="0" borderId="68" xfId="1" applyFont="1" applyBorder="1" applyAlignment="1" applyProtection="1">
      <alignment horizontal="center" wrapText="1"/>
      <protection locked="0"/>
    </xf>
    <xf numFmtId="165" fontId="26" fillId="6" borderId="56" xfId="0" applyNumberFormat="1" applyFont="1" applyFill="1" applyBorder="1" applyAlignment="1">
      <alignment horizontal="center"/>
    </xf>
    <xf numFmtId="0" fontId="35" fillId="6" borderId="13" xfId="0" applyFont="1" applyFill="1" applyBorder="1"/>
    <xf numFmtId="0" fontId="42" fillId="0" borderId="0" xfId="0" applyFont="1" applyProtection="1">
      <protection locked="0"/>
    </xf>
    <xf numFmtId="165" fontId="25" fillId="0" borderId="56" xfId="0" applyNumberFormat="1" applyFont="1" applyBorder="1" applyAlignment="1">
      <alignment horizontal="center"/>
    </xf>
    <xf numFmtId="0" fontId="25" fillId="0" borderId="13" xfId="0" applyFont="1" applyBorder="1"/>
    <xf numFmtId="164" fontId="25" fillId="0" borderId="56" xfId="1" applyFont="1" applyBorder="1" applyAlignment="1" applyProtection="1">
      <alignment horizontal="center" wrapText="1"/>
    </xf>
    <xf numFmtId="164" fontId="25" fillId="0" borderId="13" xfId="1" applyFont="1" applyBorder="1" applyAlignment="1" applyProtection="1">
      <alignment horizontal="center" wrapText="1"/>
    </xf>
    <xf numFmtId="164" fontId="25" fillId="0" borderId="66" xfId="1" applyFont="1" applyBorder="1" applyAlignment="1" applyProtection="1">
      <alignment horizontal="center" wrapText="1"/>
    </xf>
    <xf numFmtId="164" fontId="25" fillId="0" borderId="67" xfId="1" applyFont="1" applyBorder="1" applyAlignment="1" applyProtection="1">
      <alignment horizontal="center" wrapText="1"/>
    </xf>
    <xf numFmtId="164" fontId="25" fillId="0" borderId="68" xfId="1" applyFont="1" applyBorder="1" applyAlignment="1" applyProtection="1">
      <alignment horizontal="center" wrapText="1"/>
    </xf>
    <xf numFmtId="164" fontId="25" fillId="0" borderId="57" xfId="1" applyFont="1" applyBorder="1" applyAlignment="1" applyProtection="1">
      <alignment horizontal="center" wrapText="1"/>
    </xf>
    <xf numFmtId="165" fontId="26" fillId="7" borderId="56" xfId="0" applyNumberFormat="1" applyFont="1" applyFill="1" applyBorder="1" applyAlignment="1">
      <alignment horizontal="center"/>
    </xf>
    <xf numFmtId="0" fontId="35" fillId="7" borderId="13" xfId="0" applyFont="1" applyFill="1" applyBorder="1"/>
    <xf numFmtId="164" fontId="26" fillId="7" borderId="13" xfId="1" applyFont="1" applyFill="1" applyBorder="1" applyAlignment="1" applyProtection="1">
      <alignment horizontal="center" wrapText="1"/>
    </xf>
    <xf numFmtId="164" fontId="26" fillId="7" borderId="57" xfId="1" applyFont="1" applyFill="1" applyBorder="1" applyAlignment="1" applyProtection="1">
      <alignment horizontal="center" wrapText="1"/>
    </xf>
    <xf numFmtId="164" fontId="26" fillId="7" borderId="56" xfId="1" applyFont="1" applyFill="1" applyBorder="1" applyAlignment="1" applyProtection="1">
      <alignment horizontal="center" wrapText="1"/>
    </xf>
    <xf numFmtId="164" fontId="26" fillId="7" borderId="67" xfId="1" applyFont="1" applyFill="1" applyBorder="1" applyAlignment="1" applyProtection="1">
      <alignment horizontal="center" wrapText="1"/>
    </xf>
    <xf numFmtId="164" fontId="26" fillId="7" borderId="66" xfId="1" applyFont="1" applyFill="1" applyBorder="1" applyAlignment="1" applyProtection="1">
      <alignment horizontal="center" wrapText="1"/>
    </xf>
    <xf numFmtId="164" fontId="26" fillId="7" borderId="68" xfId="1" applyFont="1" applyFill="1" applyBorder="1" applyAlignment="1" applyProtection="1">
      <alignment horizontal="center" wrapText="1"/>
    </xf>
    <xf numFmtId="165" fontId="26" fillId="7" borderId="74" xfId="0" applyNumberFormat="1" applyFont="1" applyFill="1" applyBorder="1" applyAlignment="1">
      <alignment horizontal="center"/>
    </xf>
    <xf numFmtId="0" fontId="35" fillId="7" borderId="75" xfId="0" applyFont="1" applyFill="1" applyBorder="1"/>
    <xf numFmtId="164" fontId="26" fillId="7" borderId="75" xfId="1" applyFont="1" applyFill="1" applyBorder="1" applyAlignment="1" applyProtection="1">
      <alignment horizontal="center" wrapText="1"/>
    </xf>
    <xf numFmtId="164" fontId="26" fillId="7" borderId="76" xfId="1" applyFont="1" applyFill="1" applyBorder="1" applyAlignment="1" applyProtection="1">
      <alignment horizontal="center" wrapText="1"/>
    </xf>
    <xf numFmtId="164" fontId="26" fillId="7" borderId="77" xfId="1" applyFont="1" applyFill="1" applyBorder="1" applyAlignment="1" applyProtection="1">
      <alignment horizontal="center" wrapText="1"/>
    </xf>
    <xf numFmtId="164" fontId="26" fillId="7" borderId="78" xfId="1" applyFont="1" applyFill="1" applyBorder="1" applyAlignment="1" applyProtection="1">
      <alignment horizontal="center" wrapText="1"/>
    </xf>
    <xf numFmtId="164" fontId="26" fillId="7" borderId="79" xfId="1" applyFont="1" applyFill="1" applyBorder="1" applyAlignment="1" applyProtection="1">
      <alignment horizontal="center" wrapText="1"/>
    </xf>
    <xf numFmtId="164" fontId="26" fillId="7" borderId="74" xfId="1" applyFont="1" applyFill="1" applyBorder="1" applyAlignment="1" applyProtection="1">
      <alignment horizontal="center" wrapText="1"/>
    </xf>
    <xf numFmtId="0" fontId="25" fillId="8" borderId="80" xfId="0" applyFont="1" applyFill="1" applyBorder="1"/>
    <xf numFmtId="165" fontId="25" fillId="0" borderId="0" xfId="0" applyNumberFormat="1" applyFont="1" applyAlignment="1" applyProtection="1">
      <alignment horizontal="center"/>
      <protection locked="0"/>
    </xf>
    <xf numFmtId="164" fontId="26" fillId="0" borderId="0" xfId="1" applyFont="1" applyAlignment="1" applyProtection="1">
      <alignment horizontal="center" wrapText="1"/>
      <protection locked="0"/>
    </xf>
    <xf numFmtId="164" fontId="25" fillId="0" borderId="0" xfId="1" applyFont="1" applyAlignment="1" applyProtection="1">
      <alignment horizontal="center" wrapText="1"/>
      <protection locked="0"/>
    </xf>
    <xf numFmtId="165" fontId="25" fillId="0" borderId="0" xfId="1" applyNumberFormat="1" applyFont="1" applyAlignment="1" applyProtection="1">
      <alignment horizontal="center" wrapText="1"/>
      <protection locked="0"/>
    </xf>
    <xf numFmtId="0" fontId="25" fillId="0" borderId="13" xfId="0" applyFont="1" applyBorder="1" applyAlignment="1" applyProtection="1">
      <alignment vertical="top" wrapText="1"/>
      <protection locked="0"/>
    </xf>
    <xf numFmtId="164" fontId="26" fillId="0" borderId="13" xfId="1" applyFont="1" applyBorder="1" applyAlignment="1" applyProtection="1">
      <alignment horizontal="center" vertical="top" wrapText="1"/>
    </xf>
    <xf numFmtId="164" fontId="26" fillId="0" borderId="57" xfId="1" applyFont="1" applyBorder="1" applyAlignment="1" applyProtection="1">
      <alignment horizontal="center" vertical="top" wrapText="1"/>
    </xf>
    <xf numFmtId="164" fontId="25" fillId="0" borderId="56" xfId="1" applyFont="1" applyBorder="1" applyAlignment="1" applyProtection="1">
      <alignment horizontal="center" vertical="top" wrapText="1"/>
      <protection locked="0"/>
    </xf>
    <xf numFmtId="164" fontId="25" fillId="0" borderId="13" xfId="1" applyFont="1" applyBorder="1" applyAlignment="1" applyProtection="1">
      <alignment horizontal="center" vertical="top" wrapText="1"/>
      <protection locked="0"/>
    </xf>
    <xf numFmtId="164" fontId="25" fillId="0" borderId="57" xfId="1" applyFont="1" applyBorder="1" applyAlignment="1" applyProtection="1">
      <alignment horizontal="center" vertical="top" wrapText="1"/>
      <protection locked="0"/>
    </xf>
    <xf numFmtId="164" fontId="25" fillId="0" borderId="66" xfId="1" applyFont="1" applyBorder="1" applyAlignment="1" applyProtection="1">
      <alignment horizontal="center" vertical="top" wrapText="1"/>
      <protection locked="0"/>
    </xf>
    <xf numFmtId="164" fontId="25" fillId="0" borderId="67" xfId="1" applyFont="1" applyBorder="1" applyAlignment="1" applyProtection="1">
      <alignment horizontal="center" vertical="top" wrapText="1"/>
      <protection locked="0"/>
    </xf>
    <xf numFmtId="164" fontId="25" fillId="0" borderId="68" xfId="1" applyFont="1" applyBorder="1" applyAlignment="1" applyProtection="1">
      <alignment horizontal="center" vertical="top" wrapText="1"/>
      <protection locked="0"/>
    </xf>
    <xf numFmtId="165" fontId="25" fillId="0" borderId="56" xfId="0" applyNumberFormat="1" applyFont="1" applyBorder="1" applyAlignment="1" applyProtection="1">
      <alignment horizontal="center" vertical="top" wrapText="1"/>
      <protection locked="0"/>
    </xf>
    <xf numFmtId="0" fontId="25" fillId="0" borderId="13" xfId="0" quotePrefix="1" applyFont="1" applyBorder="1" applyAlignment="1" applyProtection="1">
      <alignment horizontal="center"/>
      <protection locked="0"/>
    </xf>
    <xf numFmtId="0" fontId="44" fillId="0" borderId="0" xfId="0" applyFont="1"/>
    <xf numFmtId="164" fontId="44" fillId="0" borderId="0" xfId="1" applyFont="1" applyAlignment="1">
      <alignment horizontal="center"/>
    </xf>
    <xf numFmtId="0" fontId="45" fillId="0" borderId="0" xfId="0" applyFont="1" applyAlignment="1">
      <alignment horizontal="right"/>
    </xf>
    <xf numFmtId="0" fontId="45" fillId="0" borderId="18" xfId="0" applyFont="1" applyBorder="1" applyAlignment="1">
      <alignment horizontal="center" vertical="center"/>
    </xf>
    <xf numFmtId="164" fontId="45" fillId="0" borderId="18" xfId="1" applyFont="1" applyBorder="1" applyAlignment="1">
      <alignment horizontal="center" vertical="center"/>
    </xf>
    <xf numFmtId="0" fontId="45" fillId="12" borderId="19" xfId="0" applyFont="1" applyFill="1" applyBorder="1"/>
    <xf numFmtId="0" fontId="44" fillId="12" borderId="20" xfId="0" applyFont="1" applyFill="1" applyBorder="1"/>
    <xf numFmtId="164" fontId="44" fillId="12" borderId="20" xfId="1" applyFont="1" applyFill="1" applyBorder="1" applyAlignment="1">
      <alignment horizontal="center"/>
    </xf>
    <xf numFmtId="0" fontId="44" fillId="12" borderId="21" xfId="0" applyFont="1" applyFill="1" applyBorder="1" applyAlignment="1">
      <alignment horizontal="center"/>
    </xf>
    <xf numFmtId="0" fontId="46" fillId="0" borderId="22" xfId="0" applyFont="1" applyBorder="1"/>
    <xf numFmtId="0" fontId="44" fillId="0" borderId="23" xfId="0" applyFont="1" applyBorder="1"/>
    <xf numFmtId="164" fontId="44" fillId="0" borderId="23" xfId="1" applyFont="1" applyBorder="1" applyAlignment="1">
      <alignment horizontal="center"/>
    </xf>
    <xf numFmtId="0" fontId="44" fillId="0" borderId="24" xfId="0" applyFont="1" applyBorder="1" applyAlignment="1">
      <alignment horizontal="center"/>
    </xf>
    <xf numFmtId="0" fontId="44" fillId="0" borderId="22" xfId="0" applyFont="1" applyBorder="1"/>
    <xf numFmtId="0" fontId="45" fillId="12" borderId="25" xfId="0" applyFont="1" applyFill="1" applyBorder="1"/>
    <xf numFmtId="0" fontId="44" fillId="12" borderId="26" xfId="0" applyFont="1" applyFill="1" applyBorder="1"/>
    <xf numFmtId="164" fontId="44" fillId="12" borderId="26" xfId="1" applyFont="1" applyFill="1" applyBorder="1" applyAlignment="1">
      <alignment horizontal="center"/>
    </xf>
    <xf numFmtId="0" fontId="44" fillId="12" borderId="27" xfId="0" applyFont="1" applyFill="1" applyBorder="1" applyAlignment="1">
      <alignment horizontal="center"/>
    </xf>
    <xf numFmtId="164" fontId="47" fillId="0" borderId="0" xfId="1" applyFont="1" applyAlignment="1">
      <alignment horizontal="center"/>
    </xf>
    <xf numFmtId="0" fontId="44" fillId="0" borderId="0" xfId="0" applyFont="1" applyAlignment="1">
      <alignment horizontal="center"/>
    </xf>
    <xf numFmtId="0" fontId="45" fillId="0" borderId="0" xfId="0" applyFont="1" applyAlignment="1">
      <alignment horizontal="left" indent="14"/>
    </xf>
    <xf numFmtId="164" fontId="45" fillId="0" borderId="0" xfId="1" applyFont="1" applyAlignment="1">
      <alignment horizontal="left" indent="14"/>
    </xf>
    <xf numFmtId="0" fontId="45" fillId="0" borderId="0" xfId="0" applyFont="1" applyAlignment="1">
      <alignment horizontal="center"/>
    </xf>
    <xf numFmtId="0" fontId="45" fillId="0" borderId="0" xfId="0" applyFont="1" applyAlignment="1">
      <alignment horizontal="left" indent="15"/>
    </xf>
    <xf numFmtId="0" fontId="43" fillId="0" borderId="0" xfId="4" applyFont="1" applyAlignment="1">
      <alignment horizontal="center"/>
    </xf>
    <xf numFmtId="0" fontId="43" fillId="0" borderId="0" xfId="4" applyFont="1"/>
    <xf numFmtId="0" fontId="45" fillId="0" borderId="0" xfId="4" applyFont="1" applyAlignment="1">
      <alignment horizontal="center"/>
    </xf>
    <xf numFmtId="0" fontId="48" fillId="0" borderId="0" xfId="4" applyFont="1"/>
    <xf numFmtId="164" fontId="45" fillId="26" borderId="35" xfId="5" applyFont="1" applyFill="1" applyBorder="1" applyAlignment="1">
      <alignment vertical="top" wrapText="1"/>
    </xf>
    <xf numFmtId="0" fontId="48" fillId="0" borderId="18" xfId="4" applyFont="1" applyBorder="1" applyAlignment="1">
      <alignment horizontal="center"/>
    </xf>
    <xf numFmtId="0" fontId="48" fillId="0" borderId="18" xfId="4" applyFont="1" applyBorder="1"/>
    <xf numFmtId="164" fontId="48" fillId="0" borderId="18" xfId="5" applyFont="1" applyBorder="1" applyAlignment="1"/>
    <xf numFmtId="164" fontId="48" fillId="0" borderId="18" xfId="5" applyFont="1" applyBorder="1" applyAlignment="1">
      <alignment wrapText="1"/>
    </xf>
    <xf numFmtId="0" fontId="48" fillId="0" borderId="29" xfId="4" applyFont="1" applyBorder="1"/>
    <xf numFmtId="164" fontId="48" fillId="0" borderId="29" xfId="5" applyFont="1" applyBorder="1"/>
    <xf numFmtId="164" fontId="48" fillId="0" borderId="29" xfId="5" applyFont="1" applyBorder="1" applyAlignment="1">
      <alignment wrapText="1"/>
    </xf>
    <xf numFmtId="0" fontId="48" fillId="0" borderId="29" xfId="4" applyFont="1" applyBorder="1" applyAlignment="1">
      <alignment horizontal="center"/>
    </xf>
    <xf numFmtId="0" fontId="43" fillId="0" borderId="81" xfId="4" applyFont="1" applyBorder="1" applyAlignment="1">
      <alignment horizontal="center"/>
    </xf>
    <xf numFmtId="164" fontId="43" fillId="0" borderId="81" xfId="5" applyFont="1" applyBorder="1" applyAlignment="1">
      <alignment horizontal="center"/>
    </xf>
    <xf numFmtId="164" fontId="48" fillId="0" borderId="0" xfId="5" applyFont="1"/>
    <xf numFmtId="164" fontId="48" fillId="0" borderId="0" xfId="5" applyFont="1" applyAlignment="1">
      <alignment wrapText="1"/>
    </xf>
    <xf numFmtId="0" fontId="43" fillId="0" borderId="0" xfId="0" applyFont="1" applyProtection="1">
      <protection locked="0"/>
    </xf>
    <xf numFmtId="0" fontId="43" fillId="0" borderId="0" xfId="0" applyFont="1" applyAlignment="1" applyProtection="1">
      <alignment horizontal="left" indent="2"/>
      <protection locked="0"/>
    </xf>
    <xf numFmtId="0" fontId="46" fillId="0" borderId="0" xfId="4" applyFont="1" applyAlignment="1">
      <alignment horizontal="left" indent="4"/>
    </xf>
    <xf numFmtId="0" fontId="44" fillId="0" borderId="0" xfId="4" applyFont="1"/>
    <xf numFmtId="164" fontId="44" fillId="0" borderId="0" xfId="5" applyFont="1"/>
    <xf numFmtId="164" fontId="44" fillId="0" borderId="0" xfId="5" applyFont="1" applyAlignment="1">
      <alignment wrapText="1"/>
    </xf>
    <xf numFmtId="0" fontId="44" fillId="0" borderId="0" xfId="4" applyFont="1" applyAlignment="1">
      <alignment horizontal="left" indent="1"/>
    </xf>
    <xf numFmtId="164" fontId="43" fillId="0" borderId="81" xfId="4" applyNumberFormat="1" applyFont="1" applyBorder="1" applyAlignment="1">
      <alignment horizontal="center"/>
    </xf>
    <xf numFmtId="164" fontId="48" fillId="0" borderId="29" xfId="5" applyFont="1" applyBorder="1" applyAlignment="1"/>
    <xf numFmtId="43" fontId="43" fillId="0" borderId="0" xfId="4" applyNumberFormat="1" applyFont="1" applyAlignment="1">
      <alignment horizontal="center"/>
    </xf>
    <xf numFmtId="0" fontId="25" fillId="0" borderId="13" xfId="0" applyFont="1" applyBorder="1" applyAlignment="1">
      <alignment vertical="top" wrapText="1"/>
    </xf>
    <xf numFmtId="165" fontId="25" fillId="0" borderId="56" xfId="0" applyNumberFormat="1" applyFont="1" applyBorder="1" applyAlignment="1">
      <alignment horizontal="center" vertical="top"/>
    </xf>
    <xf numFmtId="164" fontId="25" fillId="0" borderId="56" xfId="1" applyFont="1" applyBorder="1" applyAlignment="1" applyProtection="1">
      <alignment horizontal="center" vertical="top" wrapText="1"/>
    </xf>
    <xf numFmtId="164" fontId="25" fillId="0" borderId="13" xfId="1" applyFont="1" applyBorder="1" applyAlignment="1" applyProtection="1">
      <alignment horizontal="center" vertical="top" wrapText="1"/>
    </xf>
    <xf numFmtId="164" fontId="25" fillId="0" borderId="57" xfId="1" applyFont="1" applyBorder="1" applyAlignment="1" applyProtection="1">
      <alignment horizontal="center" vertical="top" wrapText="1"/>
    </xf>
    <xf numFmtId="164" fontId="25" fillId="0" borderId="66" xfId="1" applyFont="1" applyBorder="1" applyAlignment="1" applyProtection="1">
      <alignment horizontal="center" vertical="top" wrapText="1"/>
    </xf>
    <xf numFmtId="164" fontId="25" fillId="0" borderId="67" xfId="1" applyFont="1" applyBorder="1" applyAlignment="1" applyProtection="1">
      <alignment horizontal="center" vertical="top" wrapText="1"/>
    </xf>
    <xf numFmtId="164" fontId="25" fillId="0" borderId="68" xfId="1" applyFont="1" applyBorder="1" applyAlignment="1" applyProtection="1">
      <alignment horizontal="center" vertical="top" wrapText="1"/>
    </xf>
    <xf numFmtId="0" fontId="26" fillId="0" borderId="13" xfId="1" applyNumberFormat="1" applyFont="1" applyBorder="1" applyAlignment="1" applyProtection="1">
      <alignment horizontal="center" vertical="top" wrapText="1"/>
    </xf>
    <xf numFmtId="0" fontId="25" fillId="0" borderId="56" xfId="0" applyFont="1" applyBorder="1" applyAlignment="1" applyProtection="1">
      <alignment horizontal="center" vertical="top" wrapText="1"/>
      <protection locked="0"/>
    </xf>
    <xf numFmtId="4" fontId="26" fillId="0" borderId="57" xfId="1" applyNumberFormat="1" applyFont="1" applyBorder="1" applyAlignment="1" applyProtection="1">
      <alignment horizontal="center" vertical="top" wrapText="1"/>
    </xf>
    <xf numFmtId="4" fontId="26" fillId="0" borderId="13" xfId="1" applyNumberFormat="1" applyFont="1" applyBorder="1" applyAlignment="1" applyProtection="1">
      <alignment horizontal="center" vertical="top" wrapText="1"/>
    </xf>
    <xf numFmtId="4" fontId="25" fillId="0" borderId="13" xfId="1" applyNumberFormat="1" applyFont="1" applyBorder="1" applyAlignment="1" applyProtection="1">
      <alignment horizontal="center" vertical="top" wrapText="1"/>
      <protection locked="0"/>
    </xf>
    <xf numFmtId="4" fontId="25" fillId="0" borderId="66" xfId="1" applyNumberFormat="1" applyFont="1" applyBorder="1" applyAlignment="1" applyProtection="1">
      <alignment horizontal="center" vertical="top" wrapText="1"/>
      <protection locked="0"/>
    </xf>
    <xf numFmtId="4" fontId="25" fillId="0" borderId="56" xfId="1" applyNumberFormat="1" applyFont="1" applyBorder="1" applyAlignment="1" applyProtection="1">
      <alignment horizontal="center" vertical="top" wrapText="1"/>
      <protection locked="0"/>
    </xf>
    <xf numFmtId="4" fontId="25" fillId="0" borderId="67" xfId="1" applyNumberFormat="1" applyFont="1" applyBorder="1" applyAlignment="1" applyProtection="1">
      <alignment horizontal="center" vertical="top" wrapText="1"/>
      <protection locked="0"/>
    </xf>
    <xf numFmtId="4" fontId="25" fillId="0" borderId="57" xfId="1" applyNumberFormat="1" applyFont="1" applyBorder="1" applyAlignment="1" applyProtection="1">
      <alignment horizontal="center" vertical="top" wrapText="1"/>
      <protection locked="0"/>
    </xf>
    <xf numFmtId="4" fontId="25" fillId="0" borderId="68" xfId="1" applyNumberFormat="1" applyFont="1" applyBorder="1" applyAlignment="1" applyProtection="1">
      <alignment horizontal="center" vertical="top" wrapText="1"/>
      <protection locked="0"/>
    </xf>
    <xf numFmtId="4" fontId="26" fillId="0" borderId="57" xfId="1" applyNumberFormat="1" applyFont="1" applyBorder="1" applyAlignment="1" applyProtection="1">
      <alignment horizontal="center" wrapText="1"/>
    </xf>
    <xf numFmtId="4" fontId="26" fillId="0" borderId="13" xfId="1" applyNumberFormat="1" applyFont="1" applyBorder="1" applyAlignment="1" applyProtection="1">
      <alignment horizontal="center" wrapText="1"/>
    </xf>
    <xf numFmtId="4" fontId="25" fillId="0" borderId="13" xfId="1" applyNumberFormat="1" applyFont="1" applyBorder="1" applyAlignment="1" applyProtection="1">
      <alignment horizontal="center" wrapText="1"/>
      <protection locked="0"/>
    </xf>
    <xf numFmtId="4" fontId="25" fillId="0" borderId="66" xfId="1" applyNumberFormat="1" applyFont="1" applyBorder="1" applyAlignment="1" applyProtection="1">
      <alignment horizontal="center" wrapText="1"/>
      <protection locked="0"/>
    </xf>
    <xf numFmtId="4" fontId="25" fillId="0" borderId="56" xfId="1" applyNumberFormat="1" applyFont="1" applyBorder="1" applyAlignment="1" applyProtection="1">
      <alignment horizontal="center" wrapText="1"/>
      <protection locked="0"/>
    </xf>
    <xf numFmtId="4" fontId="25" fillId="0" borderId="67" xfId="1" applyNumberFormat="1" applyFont="1" applyBorder="1" applyAlignment="1" applyProtection="1">
      <alignment horizontal="center" wrapText="1"/>
      <protection locked="0"/>
    </xf>
    <xf numFmtId="4" fontId="25" fillId="0" borderId="57" xfId="1" applyNumberFormat="1" applyFont="1" applyBorder="1" applyAlignment="1" applyProtection="1">
      <alignment horizontal="center" wrapText="1"/>
      <protection locked="0"/>
    </xf>
    <xf numFmtId="4" fontId="25" fillId="0" borderId="68" xfId="1" applyNumberFormat="1" applyFont="1" applyBorder="1" applyAlignment="1" applyProtection="1">
      <alignment horizontal="center" wrapText="1"/>
      <protection locked="0"/>
    </xf>
    <xf numFmtId="0" fontId="25" fillId="0" borderId="13" xfId="1" applyNumberFormat="1" applyFont="1" applyBorder="1" applyAlignment="1" applyProtection="1">
      <alignment horizontal="center" vertical="top" wrapText="1"/>
    </xf>
    <xf numFmtId="4" fontId="25" fillId="0" borderId="57" xfId="1" applyNumberFormat="1" applyFont="1" applyBorder="1" applyAlignment="1" applyProtection="1">
      <alignment horizontal="center" vertical="top" wrapText="1"/>
    </xf>
    <xf numFmtId="4" fontId="25" fillId="0" borderId="13" xfId="1" applyNumberFormat="1" applyFont="1" applyBorder="1" applyAlignment="1" applyProtection="1">
      <alignment horizontal="center" vertical="top" wrapText="1"/>
    </xf>
    <xf numFmtId="0" fontId="25" fillId="0" borderId="13" xfId="0" applyFont="1" applyBorder="1" applyAlignment="1">
      <alignment vertical="top"/>
    </xf>
    <xf numFmtId="0" fontId="49" fillId="0" borderId="0" xfId="4" applyFont="1" applyAlignment="1">
      <alignment horizontal="left" indent="4"/>
    </xf>
    <xf numFmtId="0" fontId="50" fillId="0" borderId="0" xfId="4" applyFont="1"/>
    <xf numFmtId="164" fontId="50" fillId="0" borderId="0" xfId="5" applyFont="1"/>
    <xf numFmtId="164" fontId="50" fillId="0" borderId="0" xfId="5" applyFont="1" applyAlignment="1">
      <alignment wrapText="1"/>
    </xf>
    <xf numFmtId="0" fontId="50" fillId="0" borderId="0" xfId="4" applyFont="1" applyAlignment="1">
      <alignment horizontal="left" indent="1"/>
    </xf>
    <xf numFmtId="16" fontId="25" fillId="0" borderId="13" xfId="0" quotePrefix="1" applyNumberFormat="1" applyFont="1" applyBorder="1" applyAlignment="1" applyProtection="1">
      <alignment horizontal="center"/>
      <protection locked="0"/>
    </xf>
    <xf numFmtId="0" fontId="51" fillId="20" borderId="82" xfId="0" applyFont="1" applyFill="1" applyBorder="1" applyAlignment="1" applyProtection="1">
      <alignment vertical="center"/>
      <protection locked="0"/>
    </xf>
    <xf numFmtId="164" fontId="51" fillId="20" borderId="83" xfId="1" applyFont="1" applyFill="1" applyBorder="1" applyAlignment="1" applyProtection="1">
      <alignment horizontal="center" vertical="center" wrapText="1"/>
      <protection locked="0"/>
    </xf>
    <xf numFmtId="164" fontId="51" fillId="20" borderId="84" xfId="1" applyFont="1" applyFill="1" applyBorder="1" applyAlignment="1" applyProtection="1">
      <alignment horizontal="center" vertical="center" wrapText="1"/>
      <protection locked="0"/>
    </xf>
    <xf numFmtId="0" fontId="52" fillId="0" borderId="85" xfId="0" applyFont="1" applyBorder="1" applyProtection="1">
      <protection locked="0"/>
    </xf>
    <xf numFmtId="164" fontId="51" fillId="0" borderId="86" xfId="1" applyFont="1" applyBorder="1" applyAlignment="1" applyProtection="1">
      <alignment horizontal="center" wrapText="1"/>
      <protection locked="0"/>
    </xf>
    <xf numFmtId="164" fontId="52" fillId="0" borderId="86" xfId="1" applyFont="1" applyBorder="1" applyAlignment="1" applyProtection="1">
      <alignment horizontal="center" wrapText="1"/>
      <protection locked="0"/>
    </xf>
    <xf numFmtId="164" fontId="52" fillId="0" borderId="87" xfId="1" applyFont="1" applyBorder="1" applyAlignment="1" applyProtection="1">
      <alignment horizontal="center" wrapText="1"/>
      <protection locked="0"/>
    </xf>
    <xf numFmtId="0" fontId="52" fillId="0" borderId="88" xfId="0" applyFont="1" applyBorder="1" applyProtection="1">
      <protection locked="0"/>
    </xf>
    <xf numFmtId="164" fontId="51" fillId="0" borderId="89" xfId="1" applyFont="1" applyBorder="1" applyAlignment="1" applyProtection="1">
      <alignment horizontal="center" wrapText="1"/>
      <protection locked="0"/>
    </xf>
    <xf numFmtId="164" fontId="52" fillId="0" borderId="89" xfId="1" applyFont="1" applyBorder="1" applyAlignment="1" applyProtection="1">
      <alignment horizontal="center" wrapText="1"/>
      <protection locked="0"/>
    </xf>
    <xf numFmtId="164" fontId="52" fillId="0" borderId="90" xfId="1" applyFont="1" applyBorder="1" applyAlignment="1" applyProtection="1">
      <alignment horizontal="center" wrapText="1"/>
      <protection locked="0"/>
    </xf>
    <xf numFmtId="0" fontId="51" fillId="0" borderId="91" xfId="0" applyFont="1" applyBorder="1" applyAlignment="1" applyProtection="1">
      <alignment horizontal="center"/>
      <protection locked="0"/>
    </xf>
    <xf numFmtId="164" fontId="51" fillId="0" borderId="92" xfId="1" applyFont="1" applyBorder="1" applyAlignment="1" applyProtection="1">
      <alignment horizontal="center" wrapText="1"/>
      <protection locked="0"/>
    </xf>
    <xf numFmtId="164" fontId="51" fillId="0" borderId="93" xfId="1" applyFont="1" applyBorder="1" applyAlignment="1" applyProtection="1">
      <alignment horizontal="center" wrapText="1"/>
      <protection locked="0"/>
    </xf>
    <xf numFmtId="165" fontId="25" fillId="0" borderId="56" xfId="0" applyNumberFormat="1" applyFont="1" applyBorder="1" applyAlignment="1">
      <alignment horizontal="center" vertical="top" wrapText="1"/>
    </xf>
    <xf numFmtId="16" fontId="25" fillId="0" borderId="13" xfId="0" quotePrefix="1" applyNumberFormat="1" applyFont="1" applyBorder="1" applyAlignment="1" applyProtection="1">
      <alignment horizontal="center" vertical="center" wrapText="1"/>
      <protection locked="0"/>
    </xf>
    <xf numFmtId="0" fontId="7" fillId="0" borderId="0" xfId="0" applyFont="1" applyAlignment="1">
      <alignment horizontal="center"/>
    </xf>
    <xf numFmtId="0" fontId="9" fillId="0" borderId="18" xfId="0" applyFont="1" applyBorder="1" applyAlignment="1">
      <alignment vertical="top" wrapText="1"/>
    </xf>
    <xf numFmtId="0" fontId="9" fillId="0" borderId="29" xfId="0" applyFont="1" applyBorder="1" applyAlignment="1">
      <alignment vertical="top" wrapText="1"/>
    </xf>
    <xf numFmtId="0" fontId="9" fillId="0" borderId="45" xfId="0" applyFont="1" applyBorder="1" applyAlignment="1">
      <alignment vertical="top" wrapText="1"/>
    </xf>
    <xf numFmtId="0" fontId="9" fillId="0" borderId="18" xfId="0" applyFont="1" applyBorder="1" applyAlignment="1">
      <alignment horizontal="left" vertical="top" wrapText="1"/>
    </xf>
    <xf numFmtId="0" fontId="9" fillId="0" borderId="29" xfId="0" applyFont="1" applyBorder="1" applyAlignment="1">
      <alignment horizontal="left" vertical="top" wrapText="1"/>
    </xf>
    <xf numFmtId="0" fontId="9" fillId="0" borderId="45" xfId="0" applyFont="1" applyBorder="1" applyAlignment="1">
      <alignment horizontal="left" vertical="top" wrapText="1"/>
    </xf>
    <xf numFmtId="0" fontId="26" fillId="0" borderId="0" xfId="0" applyFont="1" applyAlignment="1" applyProtection="1">
      <alignment horizontal="center"/>
      <protection locked="0"/>
    </xf>
    <xf numFmtId="164" fontId="31" fillId="12" borderId="42" xfId="1" applyFont="1" applyFill="1" applyBorder="1" applyAlignment="1" applyProtection="1">
      <alignment horizontal="center" vertical="center" wrapText="1"/>
    </xf>
    <xf numFmtId="164" fontId="31" fillId="12" borderId="43" xfId="1" applyFont="1" applyFill="1" applyBorder="1" applyAlignment="1" applyProtection="1">
      <alignment horizontal="center" vertical="center" wrapText="1"/>
    </xf>
    <xf numFmtId="164" fontId="31" fillId="12" borderId="58" xfId="1" applyFont="1" applyFill="1" applyBorder="1" applyAlignment="1" applyProtection="1">
      <alignment horizontal="center" vertical="center" wrapText="1"/>
    </xf>
    <xf numFmtId="164" fontId="31" fillId="6" borderId="42" xfId="1" applyFont="1" applyFill="1" applyBorder="1" applyAlignment="1" applyProtection="1">
      <alignment horizontal="center" vertical="center" wrapText="1"/>
    </xf>
    <xf numFmtId="164" fontId="31" fillId="6" borderId="43" xfId="1" applyFont="1" applyFill="1" applyBorder="1" applyAlignment="1" applyProtection="1">
      <alignment horizontal="center" vertical="center" wrapText="1"/>
    </xf>
    <xf numFmtId="164" fontId="31" fillId="6" borderId="58" xfId="1" applyFont="1" applyFill="1" applyBorder="1" applyAlignment="1" applyProtection="1">
      <alignment horizontal="center" vertical="center" wrapText="1"/>
    </xf>
    <xf numFmtId="165" fontId="26" fillId="7" borderId="5" xfId="0" applyNumberFormat="1" applyFont="1" applyFill="1" applyBorder="1" applyAlignment="1">
      <alignment horizontal="center" vertical="center"/>
    </xf>
    <xf numFmtId="165" fontId="26" fillId="7" borderId="44" xfId="0" applyNumberFormat="1" applyFont="1" applyFill="1" applyBorder="1" applyAlignment="1">
      <alignment horizontal="center" vertical="center"/>
    </xf>
    <xf numFmtId="165" fontId="26" fillId="7" borderId="49" xfId="0" applyNumberFormat="1" applyFont="1" applyFill="1" applyBorder="1" applyAlignment="1">
      <alignment horizontal="center" vertical="center"/>
    </xf>
    <xf numFmtId="165" fontId="26" fillId="7" borderId="9" xfId="0" applyNumberFormat="1" applyFont="1" applyFill="1" applyBorder="1" applyAlignment="1">
      <alignment horizontal="center" vertical="center"/>
    </xf>
    <xf numFmtId="0" fontId="26" fillId="7" borderId="6" xfId="0" applyFont="1" applyFill="1" applyBorder="1" applyAlignment="1">
      <alignment horizontal="center" vertical="center"/>
    </xf>
    <xf numFmtId="0" fontId="26" fillId="7" borderId="45" xfId="0" applyFont="1" applyFill="1" applyBorder="1" applyAlignment="1">
      <alignment horizontal="center" vertical="center"/>
    </xf>
    <xf numFmtId="0" fontId="26" fillId="7" borderId="35" xfId="0" applyFont="1" applyFill="1" applyBorder="1" applyAlignment="1">
      <alignment horizontal="center" vertical="center"/>
    </xf>
    <xf numFmtId="0" fontId="26" fillId="7" borderId="10" xfId="0" applyFont="1" applyFill="1" applyBorder="1" applyAlignment="1">
      <alignment horizontal="center" vertical="center"/>
    </xf>
    <xf numFmtId="164" fontId="26" fillId="7" borderId="35" xfId="1" applyFont="1" applyFill="1" applyBorder="1" applyAlignment="1" applyProtection="1">
      <alignment horizontal="center" vertical="center" wrapText="1"/>
    </xf>
    <xf numFmtId="164" fontId="26" fillId="7" borderId="10" xfId="1" applyFont="1" applyFill="1" applyBorder="1" applyAlignment="1" applyProtection="1">
      <alignment horizontal="center" vertical="center" wrapText="1"/>
    </xf>
    <xf numFmtId="164" fontId="26" fillId="7" borderId="50" xfId="1" applyFont="1" applyFill="1" applyBorder="1" applyAlignment="1" applyProtection="1">
      <alignment horizontal="center" vertical="center" wrapText="1"/>
    </xf>
    <xf numFmtId="164" fontId="26" fillId="7" borderId="52" xfId="1" applyFont="1" applyFill="1" applyBorder="1" applyAlignment="1" applyProtection="1">
      <alignment horizontal="center" vertical="center" wrapText="1"/>
    </xf>
    <xf numFmtId="164" fontId="26" fillId="19" borderId="48" xfId="1" applyFont="1" applyFill="1" applyBorder="1" applyAlignment="1" applyProtection="1">
      <alignment horizontal="center" vertical="center" wrapText="1"/>
    </xf>
    <xf numFmtId="164" fontId="26" fillId="19" borderId="60" xfId="1" applyFont="1" applyFill="1" applyBorder="1" applyAlignment="1" applyProtection="1">
      <alignment horizontal="center" vertical="center" wrapText="1"/>
    </xf>
    <xf numFmtId="164" fontId="26" fillId="19" borderId="17" xfId="1" applyFont="1" applyFill="1" applyBorder="1" applyAlignment="1" applyProtection="1">
      <alignment horizontal="center" vertical="center" wrapText="1"/>
    </xf>
    <xf numFmtId="164" fontId="26" fillId="19" borderId="71" xfId="1" applyFont="1" applyFill="1" applyBorder="1" applyAlignment="1" applyProtection="1">
      <alignment horizontal="center" vertical="center" wrapText="1"/>
    </xf>
    <xf numFmtId="164" fontId="26" fillId="19" borderId="47" xfId="1" applyFont="1" applyFill="1" applyBorder="1" applyAlignment="1" applyProtection="1">
      <alignment horizontal="center" vertical="center" wrapText="1"/>
    </xf>
    <xf numFmtId="164" fontId="26" fillId="19" borderId="72" xfId="1" applyFont="1" applyFill="1" applyBorder="1" applyAlignment="1" applyProtection="1">
      <alignment horizontal="center" vertical="center" wrapText="1"/>
    </xf>
    <xf numFmtId="164" fontId="26" fillId="19" borderId="51" xfId="1" applyFont="1" applyFill="1" applyBorder="1" applyAlignment="1" applyProtection="1">
      <alignment horizontal="center" vertical="center" wrapText="1"/>
    </xf>
    <xf numFmtId="164" fontId="26" fillId="19" borderId="62" xfId="1" applyFont="1" applyFill="1" applyBorder="1" applyAlignment="1" applyProtection="1">
      <alignment horizontal="center" vertical="center" wrapText="1"/>
    </xf>
    <xf numFmtId="164" fontId="26" fillId="19" borderId="61" xfId="1" applyFont="1" applyFill="1" applyBorder="1" applyAlignment="1" applyProtection="1">
      <alignment horizontal="center" vertical="center" wrapText="1"/>
    </xf>
    <xf numFmtId="164" fontId="26" fillId="7" borderId="40" xfId="1" applyFont="1" applyFill="1" applyBorder="1" applyAlignment="1" applyProtection="1">
      <alignment horizontal="center" vertical="center" wrapText="1"/>
    </xf>
    <xf numFmtId="164" fontId="26" fillId="7" borderId="41" xfId="1" applyFont="1" applyFill="1" applyBorder="1" applyAlignment="1" applyProtection="1">
      <alignment horizontal="center" vertical="center" wrapText="1"/>
    </xf>
    <xf numFmtId="164" fontId="26" fillId="7" borderId="46" xfId="1" applyFont="1" applyFill="1" applyBorder="1" applyAlignment="1" applyProtection="1">
      <alignment horizontal="center" vertical="center" wrapText="1"/>
    </xf>
    <xf numFmtId="164" fontId="26" fillId="7" borderId="47" xfId="1" applyFont="1" applyFill="1" applyBorder="1" applyAlignment="1" applyProtection="1">
      <alignment horizontal="center" vertical="center" wrapText="1"/>
    </xf>
    <xf numFmtId="164" fontId="26" fillId="6" borderId="0" xfId="1" applyFont="1" applyFill="1" applyBorder="1" applyAlignment="1" applyProtection="1">
      <alignment horizontal="center" vertical="center" wrapText="1"/>
    </xf>
    <xf numFmtId="164" fontId="26" fillId="6" borderId="70" xfId="1" applyFont="1" applyFill="1" applyBorder="1" applyAlignment="1" applyProtection="1">
      <alignment horizontal="center" vertical="center" wrapText="1"/>
    </xf>
    <xf numFmtId="164" fontId="26" fillId="6" borderId="47" xfId="1" applyFont="1" applyFill="1" applyBorder="1" applyAlignment="1" applyProtection="1">
      <alignment horizontal="center" vertical="center" wrapText="1"/>
    </xf>
    <xf numFmtId="164" fontId="26" fillId="6" borderId="73" xfId="1" applyFont="1" applyFill="1" applyBorder="1" applyAlignment="1" applyProtection="1">
      <alignment horizontal="center" vertical="center" wrapText="1"/>
    </xf>
    <xf numFmtId="164" fontId="26" fillId="16" borderId="5" xfId="1" applyFont="1" applyFill="1" applyBorder="1" applyAlignment="1" applyProtection="1">
      <alignment horizontal="center" vertical="center" wrapText="1"/>
    </xf>
    <xf numFmtId="164" fontId="26" fillId="16" borderId="48" xfId="1" applyFont="1" applyFill="1" applyBorder="1" applyAlignment="1" applyProtection="1">
      <alignment horizontal="center" vertical="center" wrapText="1"/>
    </xf>
    <xf numFmtId="164" fontId="26" fillId="16" borderId="6" xfId="1" applyFont="1" applyFill="1" applyBorder="1" applyAlignment="1" applyProtection="1">
      <alignment horizontal="center" vertical="center" wrapText="1"/>
    </xf>
    <xf numFmtId="164" fontId="26" fillId="16" borderId="8" xfId="1" applyFont="1" applyFill="1" applyBorder="1" applyAlignment="1" applyProtection="1">
      <alignment horizontal="center" vertical="center" wrapText="1"/>
    </xf>
    <xf numFmtId="164" fontId="26" fillId="16" borderId="17" xfId="1" applyFont="1" applyFill="1" applyBorder="1" applyAlignment="1" applyProtection="1">
      <alignment horizontal="center" vertical="center" wrapText="1"/>
    </xf>
    <xf numFmtId="164" fontId="26" fillId="24" borderId="59" xfId="1" applyFont="1" applyFill="1" applyBorder="1" applyAlignment="1" applyProtection="1">
      <alignment horizontal="center" vertical="center" wrapText="1"/>
    </xf>
    <xf numFmtId="164" fontId="26" fillId="24" borderId="60" xfId="1" applyFont="1" applyFill="1" applyBorder="1" applyAlignment="1" applyProtection="1">
      <alignment horizontal="center" vertical="center" wrapText="1"/>
    </xf>
    <xf numFmtId="164" fontId="26" fillId="24" borderId="14" xfId="1" applyFont="1" applyFill="1" applyBorder="1" applyAlignment="1" applyProtection="1">
      <alignment horizontal="center" vertical="center" wrapText="1"/>
    </xf>
    <xf numFmtId="164" fontId="26" fillId="15" borderId="5" xfId="1" applyFont="1" applyFill="1" applyBorder="1" applyAlignment="1" applyProtection="1">
      <alignment horizontal="center" vertical="center" wrapText="1"/>
    </xf>
    <xf numFmtId="164" fontId="26" fillId="15" borderId="60" xfId="1" applyFont="1" applyFill="1" applyBorder="1" applyAlignment="1" applyProtection="1">
      <alignment horizontal="center" vertical="center" wrapText="1"/>
    </xf>
    <xf numFmtId="164" fontId="26" fillId="15" borderId="17" xfId="1" applyFont="1" applyFill="1" applyBorder="1" applyAlignment="1" applyProtection="1">
      <alignment horizontal="center" vertical="center" wrapText="1"/>
    </xf>
    <xf numFmtId="164" fontId="26" fillId="22" borderId="35" xfId="1" applyFont="1" applyFill="1" applyBorder="1" applyAlignment="1" applyProtection="1">
      <alignment horizontal="center" vertical="center" wrapText="1"/>
    </xf>
    <xf numFmtId="164" fontId="26" fillId="18" borderId="35" xfId="1" applyFont="1" applyFill="1" applyBorder="1" applyAlignment="1" applyProtection="1">
      <alignment horizontal="center" vertical="center" wrapText="1"/>
    </xf>
    <xf numFmtId="164" fontId="26" fillId="18" borderId="50" xfId="1" applyFont="1" applyFill="1" applyBorder="1" applyAlignment="1" applyProtection="1">
      <alignment horizontal="center" vertical="center" wrapText="1"/>
    </xf>
    <xf numFmtId="164" fontId="26" fillId="18" borderId="61" xfId="1" applyFont="1" applyFill="1" applyBorder="1" applyAlignment="1" applyProtection="1">
      <alignment horizontal="center" vertical="center" wrapText="1"/>
    </xf>
    <xf numFmtId="164" fontId="26" fillId="15" borderId="49" xfId="1" applyFont="1" applyFill="1" applyBorder="1" applyAlignment="1" applyProtection="1">
      <alignment horizontal="center" vertical="center" wrapText="1"/>
    </xf>
    <xf numFmtId="164" fontId="26" fillId="15" borderId="62" xfId="1" applyFont="1" applyFill="1" applyBorder="1" applyAlignment="1" applyProtection="1">
      <alignment horizontal="center" vertical="center" wrapText="1"/>
    </xf>
    <xf numFmtId="164" fontId="26" fillId="15" borderId="61" xfId="1" applyFont="1" applyFill="1" applyBorder="1" applyAlignment="1" applyProtection="1">
      <alignment horizontal="center" vertical="center" wrapText="1"/>
    </xf>
    <xf numFmtId="164" fontId="26" fillId="22" borderId="59" xfId="1" applyFont="1" applyFill="1" applyBorder="1" applyAlignment="1" applyProtection="1">
      <alignment horizontal="center" vertical="center" wrapText="1"/>
    </xf>
    <xf numFmtId="164" fontId="26" fillId="22" borderId="60" xfId="1" applyFont="1" applyFill="1" applyBorder="1" applyAlignment="1" applyProtection="1">
      <alignment horizontal="center" vertical="center" wrapText="1"/>
    </xf>
    <xf numFmtId="164" fontId="26" fillId="16" borderId="35" xfId="1" applyFont="1" applyFill="1" applyBorder="1" applyAlignment="1" applyProtection="1">
      <alignment horizontal="center" vertical="center" wrapText="1"/>
    </xf>
    <xf numFmtId="164" fontId="26" fillId="16" borderId="50" xfId="1" applyFont="1" applyFill="1" applyBorder="1" applyAlignment="1" applyProtection="1">
      <alignment horizontal="center" vertical="center" wrapText="1"/>
    </xf>
    <xf numFmtId="164" fontId="26" fillId="16" borderId="61" xfId="1" applyFont="1" applyFill="1" applyBorder="1" applyAlignment="1" applyProtection="1">
      <alignment horizontal="center" vertical="center" wrapText="1"/>
    </xf>
    <xf numFmtId="164" fontId="26" fillId="24" borderId="49" xfId="1" applyFont="1" applyFill="1" applyBorder="1" applyAlignment="1" applyProtection="1">
      <alignment horizontal="center" vertical="center" wrapText="1"/>
    </xf>
    <xf numFmtId="164" fontId="26" fillId="24" borderId="62" xfId="1" applyFont="1" applyFill="1" applyBorder="1" applyAlignment="1" applyProtection="1">
      <alignment horizontal="center" vertical="center" wrapText="1"/>
    </xf>
    <xf numFmtId="164" fontId="26" fillId="24" borderId="61" xfId="1" applyFont="1" applyFill="1" applyBorder="1" applyAlignment="1" applyProtection="1">
      <alignment horizontal="center" vertical="center" wrapText="1"/>
    </xf>
    <xf numFmtId="164" fontId="26" fillId="22" borderId="49" xfId="1" applyFont="1" applyFill="1" applyBorder="1" applyAlignment="1" applyProtection="1">
      <alignment horizontal="center" vertical="center" wrapText="1"/>
    </xf>
    <xf numFmtId="164" fontId="26" fillId="22" borderId="51" xfId="1" applyFont="1" applyFill="1" applyBorder="1" applyAlignment="1" applyProtection="1">
      <alignment horizontal="center" vertical="center" wrapText="1"/>
    </xf>
    <xf numFmtId="164" fontId="26" fillId="22" borderId="50" xfId="1" applyFont="1" applyFill="1" applyBorder="1" applyAlignment="1" applyProtection="1">
      <alignment horizontal="center" vertical="center" wrapText="1"/>
    </xf>
    <xf numFmtId="164" fontId="26" fillId="22" borderId="62" xfId="1" applyFont="1" applyFill="1" applyBorder="1" applyAlignment="1" applyProtection="1">
      <alignment horizontal="center" vertical="center" wrapText="1"/>
    </xf>
    <xf numFmtId="164" fontId="26" fillId="14" borderId="6" xfId="1" applyFont="1" applyFill="1" applyBorder="1" applyAlignment="1" applyProtection="1">
      <alignment horizontal="center" vertical="center"/>
    </xf>
    <xf numFmtId="164" fontId="26" fillId="14" borderId="8" xfId="1" applyFont="1" applyFill="1" applyBorder="1" applyAlignment="1" applyProtection="1">
      <alignment horizontal="center" vertical="center"/>
    </xf>
    <xf numFmtId="164" fontId="26" fillId="14" borderId="17" xfId="1" applyFont="1" applyFill="1" applyBorder="1" applyAlignment="1" applyProtection="1">
      <alignment horizontal="center" vertical="center"/>
    </xf>
    <xf numFmtId="0" fontId="26" fillId="14" borderId="5" xfId="0" applyFont="1" applyFill="1" applyBorder="1" applyAlignment="1">
      <alignment horizontal="center" vertical="center"/>
    </xf>
    <xf numFmtId="0" fontId="26" fillId="14" borderId="28" xfId="0" applyFont="1" applyFill="1" applyBorder="1" applyAlignment="1">
      <alignment horizontal="center" vertical="center"/>
    </xf>
    <xf numFmtId="0" fontId="26" fillId="14" borderId="7" xfId="0" applyFont="1" applyFill="1" applyBorder="1" applyAlignment="1">
      <alignment horizontal="center" vertical="center" wrapText="1"/>
    </xf>
    <xf numFmtId="0" fontId="26" fillId="14" borderId="29" xfId="0" applyFont="1" applyFill="1" applyBorder="1" applyAlignment="1">
      <alignment horizontal="center" vertical="center" wrapText="1"/>
    </xf>
    <xf numFmtId="0" fontId="26" fillId="14" borderId="6" xfId="0" applyFont="1" applyFill="1" applyBorder="1" applyAlignment="1">
      <alignment horizontal="center" vertical="center"/>
    </xf>
    <xf numFmtId="0" fontId="26" fillId="14" borderId="18" xfId="0" applyFont="1" applyFill="1" applyBorder="1" applyAlignment="1">
      <alignment horizontal="center" vertical="center"/>
    </xf>
    <xf numFmtId="0" fontId="43" fillId="0" borderId="0" xfId="0" applyFont="1" applyAlignment="1">
      <alignment horizontal="center"/>
    </xf>
    <xf numFmtId="0" fontId="45" fillId="0" borderId="18" xfId="0" applyFont="1" applyBorder="1" applyAlignment="1">
      <alignment horizontal="center" vertical="center"/>
    </xf>
    <xf numFmtId="0" fontId="43" fillId="0" borderId="0" xfId="4" applyFont="1" applyAlignment="1">
      <alignment horizontal="center"/>
    </xf>
    <xf numFmtId="0" fontId="45" fillId="26" borderId="35" xfId="4" applyFont="1" applyFill="1" applyBorder="1" applyAlignment="1">
      <alignment horizontal="center" vertical="center"/>
    </xf>
    <xf numFmtId="164" fontId="45" fillId="26" borderId="35" xfId="5" applyFont="1" applyFill="1" applyBorder="1" applyAlignment="1">
      <alignment horizontal="center" vertical="center" wrapText="1"/>
    </xf>
    <xf numFmtId="164" fontId="45" fillId="26" borderId="35" xfId="5" applyFont="1" applyFill="1" applyBorder="1" applyAlignment="1">
      <alignment horizontal="center" vertical="center"/>
    </xf>
    <xf numFmtId="164" fontId="45" fillId="26" borderId="35" xfId="5" applyFont="1" applyFill="1" applyBorder="1" applyAlignment="1">
      <alignment horizontal="center" wrapText="1"/>
    </xf>
    <xf numFmtId="0" fontId="7" fillId="0" borderId="0" xfId="0" applyFont="1" applyAlignment="1" applyProtection="1">
      <alignment horizontal="center"/>
      <protection locked="0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164" fontId="20" fillId="4" borderId="0" xfId="1" applyFont="1" applyFill="1" applyBorder="1" applyAlignment="1" applyProtection="1">
      <alignment horizontal="center" vertical="center" wrapText="1"/>
      <protection locked="0"/>
    </xf>
    <xf numFmtId="164" fontId="12" fillId="5" borderId="8" xfId="1" applyFont="1" applyFill="1" applyBorder="1" applyAlignment="1" applyProtection="1">
      <alignment horizontal="center" vertical="center" wrapText="1"/>
    </xf>
    <xf numFmtId="164" fontId="12" fillId="5" borderId="14" xfId="1" applyFont="1" applyFill="1" applyBorder="1" applyAlignment="1" applyProtection="1">
      <alignment horizontal="center" vertical="center" wrapText="1"/>
    </xf>
    <xf numFmtId="15" fontId="12" fillId="5" borderId="5" xfId="0" applyNumberFormat="1" applyFont="1" applyFill="1" applyBorder="1" applyAlignment="1">
      <alignment horizontal="center" vertical="center" wrapText="1"/>
    </xf>
    <xf numFmtId="15" fontId="12" fillId="5" borderId="9" xfId="0" applyNumberFormat="1" applyFont="1" applyFill="1" applyBorder="1" applyAlignment="1">
      <alignment horizontal="center" vertical="center" wrapText="1"/>
    </xf>
    <xf numFmtId="0" fontId="12" fillId="5" borderId="6" xfId="0" applyFont="1" applyFill="1" applyBorder="1" applyAlignment="1">
      <alignment horizontal="center" vertical="center" wrapText="1"/>
    </xf>
    <xf numFmtId="0" fontId="12" fillId="5" borderId="10" xfId="0" applyFont="1" applyFill="1" applyBorder="1" applyAlignment="1">
      <alignment horizontal="center" vertical="center" wrapText="1"/>
    </xf>
    <xf numFmtId="164" fontId="12" fillId="5" borderId="6" xfId="1" applyFont="1" applyFill="1" applyBorder="1" applyAlignment="1">
      <alignment horizontal="center" vertical="center" wrapText="1"/>
    </xf>
    <xf numFmtId="164" fontId="12" fillId="5" borderId="17" xfId="1" applyFont="1" applyFill="1" applyBorder="1" applyAlignment="1">
      <alignment horizontal="center" vertical="center" wrapText="1"/>
    </xf>
    <xf numFmtId="0" fontId="12" fillId="5" borderId="5" xfId="0" applyFont="1" applyFill="1" applyBorder="1" applyAlignment="1">
      <alignment horizontal="center" vertical="center" wrapText="1"/>
    </xf>
    <xf numFmtId="0" fontId="12" fillId="5" borderId="9" xfId="0" applyFont="1" applyFill="1" applyBorder="1" applyAlignment="1">
      <alignment horizontal="center" vertical="center" wrapText="1"/>
    </xf>
    <xf numFmtId="0" fontId="10" fillId="0" borderId="0" xfId="0" applyFont="1" applyAlignment="1" applyProtection="1">
      <alignment horizontal="center"/>
      <protection locked="0"/>
    </xf>
    <xf numFmtId="0" fontId="12" fillId="5" borderId="7" xfId="0" applyFont="1" applyFill="1" applyBorder="1" applyAlignment="1">
      <alignment horizontal="center" vertical="center" wrapText="1"/>
    </xf>
    <xf numFmtId="0" fontId="12" fillId="5" borderId="11" xfId="0" applyFont="1" applyFill="1" applyBorder="1" applyAlignment="1">
      <alignment horizontal="center" vertical="center" wrapText="1"/>
    </xf>
  </cellXfs>
  <cellStyles count="6">
    <cellStyle name="Comma" xfId="1" builtinId="3"/>
    <cellStyle name="Comma 2" xfId="3" xr:uid="{00000000-0005-0000-0000-000001000000}"/>
    <cellStyle name="Comma 3" xfId="5" xr:uid="{00000000-0005-0000-0000-000002000000}"/>
    <cellStyle name="Normal" xfId="0" builtinId="0"/>
    <cellStyle name="Normal 2" xfId="2" xr:uid="{00000000-0005-0000-0000-000004000000}"/>
    <cellStyle name="Normal 3" xfId="4" xr:uid="{00000000-0005-0000-0000-000005000000}"/>
  </cellStyles>
  <dxfs count="7">
    <dxf>
      <font>
        <color rgb="FFFFFF00"/>
      </font>
      <fill>
        <patternFill patternType="solid">
          <bgColor rgb="FFFF0000"/>
        </patternFill>
      </fill>
    </dxf>
    <dxf>
      <font>
        <color rgb="FFFFFF00"/>
      </font>
      <fill>
        <patternFill patternType="solid">
          <bgColor rgb="FFFF0000"/>
        </patternFill>
      </fill>
    </dxf>
    <dxf>
      <font>
        <color rgb="FFFFFF00"/>
      </font>
      <fill>
        <patternFill patternType="solid">
          <bgColor rgb="FFFF0000"/>
        </patternFill>
      </fill>
    </dxf>
    <dxf>
      <font>
        <color rgb="FFFFFF00"/>
      </font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ont>
        <color rgb="FFFFFF00"/>
      </font>
      <fill>
        <patternFill patternType="solid">
          <bgColor rgb="FFFF0000"/>
        </patternFill>
      </fill>
    </dxf>
  </dxfs>
  <tableStyles count="0" defaultTableStyle="TableStyleMedium2" defaultPivotStyle="PivotStyleLight16"/>
  <colors>
    <mruColors>
      <color rgb="FF99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238125</xdr:colOff>
          <xdr:row>0</xdr:row>
          <xdr:rowOff>219075</xdr:rowOff>
        </xdr:from>
        <xdr:to>
          <xdr:col>40</xdr:col>
          <xdr:colOff>1123950</xdr:colOff>
          <xdr:row>1</xdr:row>
          <xdr:rowOff>180975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Hide/Unhide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676275</xdr:colOff>
          <xdr:row>0</xdr:row>
          <xdr:rowOff>123825</xdr:rowOff>
        </xdr:from>
        <xdr:to>
          <xdr:col>11</xdr:col>
          <xdr:colOff>1552575</xdr:colOff>
          <xdr:row>0</xdr:row>
          <xdr:rowOff>390525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Hide/Unhide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</sheetPr>
  <dimension ref="A1:D39"/>
  <sheetViews>
    <sheetView workbookViewId="0">
      <selection activeCell="B16" sqref="B16:B17"/>
    </sheetView>
  </sheetViews>
  <sheetFormatPr defaultColWidth="9" defaultRowHeight="21.75"/>
  <cols>
    <col min="1" max="1" width="33.7109375" style="14" customWidth="1"/>
    <col min="2" max="2" width="47.7109375" style="14" customWidth="1"/>
    <col min="3" max="3" width="29.85546875" style="14" customWidth="1"/>
    <col min="4" max="16384" width="9" style="14"/>
  </cols>
  <sheetData>
    <row r="1" spans="1:4" ht="27.75" customHeight="1">
      <c r="A1" s="387" t="s">
        <v>0</v>
      </c>
      <c r="B1" s="387"/>
      <c r="C1" s="387"/>
    </row>
    <row r="2" spans="1:4" ht="45.75" customHeight="1">
      <c r="A2" s="85" t="s">
        <v>1</v>
      </c>
      <c r="B2" s="85" t="s">
        <v>2</v>
      </c>
      <c r="C2" s="85" t="s">
        <v>3</v>
      </c>
    </row>
    <row r="3" spans="1:4">
      <c r="A3" s="388" t="s">
        <v>4</v>
      </c>
      <c r="B3" s="87" t="s">
        <v>5</v>
      </c>
      <c r="C3" s="391" t="s">
        <v>6</v>
      </c>
      <c r="D3" s="88"/>
    </row>
    <row r="4" spans="1:4">
      <c r="A4" s="389"/>
      <c r="B4" s="89" t="s">
        <v>7</v>
      </c>
      <c r="C4" s="392"/>
      <c r="D4" s="88"/>
    </row>
    <row r="5" spans="1:4">
      <c r="A5" s="389"/>
      <c r="B5" s="89" t="s">
        <v>8</v>
      </c>
      <c r="C5" s="392"/>
      <c r="D5" s="88"/>
    </row>
    <row r="6" spans="1:4" ht="108.75">
      <c r="A6" s="389"/>
      <c r="B6" s="89" t="s">
        <v>9</v>
      </c>
      <c r="C6" s="392"/>
      <c r="D6" s="88"/>
    </row>
    <row r="7" spans="1:4" ht="43.5">
      <c r="A7" s="389"/>
      <c r="B7" s="89" t="s">
        <v>10</v>
      </c>
      <c r="C7" s="392"/>
      <c r="D7" s="88"/>
    </row>
    <row r="8" spans="1:4">
      <c r="A8" s="389"/>
      <c r="B8" s="89"/>
      <c r="C8" s="392"/>
      <c r="D8" s="88"/>
    </row>
    <row r="9" spans="1:4">
      <c r="A9" s="390"/>
      <c r="B9" s="90"/>
      <c r="C9" s="393"/>
      <c r="D9" s="88"/>
    </row>
    <row r="10" spans="1:4" ht="43.5">
      <c r="A10" s="388" t="s">
        <v>11</v>
      </c>
      <c r="B10" s="86" t="s">
        <v>12</v>
      </c>
      <c r="C10" s="391" t="s">
        <v>13</v>
      </c>
      <c r="D10" s="88"/>
    </row>
    <row r="11" spans="1:4">
      <c r="A11" s="389"/>
      <c r="B11" s="89" t="s">
        <v>14</v>
      </c>
      <c r="C11" s="392"/>
      <c r="D11" s="88"/>
    </row>
    <row r="12" spans="1:4" ht="37.5" customHeight="1">
      <c r="A12" s="389"/>
      <c r="B12" s="392" t="s">
        <v>15</v>
      </c>
      <c r="C12" s="392"/>
      <c r="D12" s="88"/>
    </row>
    <row r="13" spans="1:4">
      <c r="A13" s="390"/>
      <c r="B13" s="393"/>
      <c r="C13" s="393"/>
      <c r="D13" s="88"/>
    </row>
    <row r="14" spans="1:4" ht="24" customHeight="1">
      <c r="A14" s="391" t="s">
        <v>16</v>
      </c>
      <c r="B14" s="86" t="s">
        <v>17</v>
      </c>
      <c r="C14" s="391" t="s">
        <v>18</v>
      </c>
      <c r="D14" s="88"/>
    </row>
    <row r="15" spans="1:4" ht="43.5">
      <c r="A15" s="392"/>
      <c r="B15" s="89" t="s">
        <v>19</v>
      </c>
      <c r="C15" s="392"/>
      <c r="D15" s="88"/>
    </row>
    <row r="16" spans="1:4">
      <c r="A16" s="392"/>
      <c r="B16" s="89" t="s">
        <v>20</v>
      </c>
      <c r="C16" s="392"/>
      <c r="D16" s="88"/>
    </row>
    <row r="17" spans="1:4">
      <c r="A17" s="392"/>
      <c r="B17" s="89" t="s">
        <v>21</v>
      </c>
      <c r="C17" s="392"/>
      <c r="D17" s="88"/>
    </row>
    <row r="18" spans="1:4">
      <c r="A18" s="392"/>
      <c r="B18" s="89" t="s">
        <v>22</v>
      </c>
      <c r="C18" s="392"/>
      <c r="D18" s="88"/>
    </row>
    <row r="19" spans="1:4" ht="65.25">
      <c r="A19" s="392"/>
      <c r="B19" s="89" t="s">
        <v>23</v>
      </c>
      <c r="C19" s="392"/>
      <c r="D19" s="88"/>
    </row>
    <row r="20" spans="1:4" ht="45.75" customHeight="1">
      <c r="A20" s="392"/>
      <c r="B20" s="392" t="s">
        <v>24</v>
      </c>
      <c r="C20" s="392"/>
      <c r="D20" s="88"/>
    </row>
    <row r="21" spans="1:4" ht="7.5" customHeight="1">
      <c r="A21" s="393"/>
      <c r="B21" s="393"/>
      <c r="C21" s="393"/>
      <c r="D21" s="88"/>
    </row>
    <row r="22" spans="1:4" ht="65.25">
      <c r="A22" s="86" t="s">
        <v>25</v>
      </c>
      <c r="B22" s="86" t="s">
        <v>26</v>
      </c>
      <c r="C22" s="391" t="s">
        <v>18</v>
      </c>
      <c r="D22" s="88"/>
    </row>
    <row r="23" spans="1:4" ht="43.5">
      <c r="A23" s="89" t="s">
        <v>27</v>
      </c>
      <c r="B23" s="89" t="s">
        <v>19</v>
      </c>
      <c r="C23" s="392"/>
      <c r="D23" s="88"/>
    </row>
    <row r="24" spans="1:4">
      <c r="A24" s="392" t="s">
        <v>28</v>
      </c>
      <c r="B24" s="89" t="s">
        <v>29</v>
      </c>
      <c r="C24" s="392"/>
      <c r="D24" s="88"/>
    </row>
    <row r="25" spans="1:4" ht="65.25">
      <c r="A25" s="392"/>
      <c r="B25" s="89" t="s">
        <v>30</v>
      </c>
      <c r="C25" s="392"/>
      <c r="D25" s="88"/>
    </row>
    <row r="26" spans="1:4" ht="38.25" customHeight="1">
      <c r="A26" s="392"/>
      <c r="B26" s="392" t="s">
        <v>31</v>
      </c>
      <c r="C26" s="392"/>
      <c r="D26" s="88"/>
    </row>
    <row r="27" spans="1:4" ht="23.25" customHeight="1">
      <c r="A27" s="393"/>
      <c r="B27" s="393"/>
      <c r="C27" s="393"/>
      <c r="D27" s="88"/>
    </row>
    <row r="28" spans="1:4">
      <c r="A28" s="389" t="s">
        <v>32</v>
      </c>
      <c r="B28" s="89" t="s">
        <v>33</v>
      </c>
      <c r="C28" s="392" t="s">
        <v>18</v>
      </c>
      <c r="D28" s="88"/>
    </row>
    <row r="29" spans="1:4" ht="65.25">
      <c r="A29" s="389"/>
      <c r="B29" s="89" t="s">
        <v>34</v>
      </c>
      <c r="C29" s="392"/>
      <c r="D29" s="88"/>
    </row>
    <row r="30" spans="1:4">
      <c r="A30" s="389"/>
      <c r="B30" s="89" t="s">
        <v>35</v>
      </c>
      <c r="C30" s="392"/>
      <c r="D30" s="88"/>
    </row>
    <row r="31" spans="1:4" ht="43.5">
      <c r="A31" s="389"/>
      <c r="B31" s="89" t="s">
        <v>36</v>
      </c>
      <c r="C31" s="392"/>
      <c r="D31" s="88"/>
    </row>
    <row r="32" spans="1:4">
      <c r="A32" s="389"/>
      <c r="B32" s="89" t="s">
        <v>22</v>
      </c>
      <c r="C32" s="392"/>
      <c r="D32" s="88"/>
    </row>
    <row r="33" spans="1:4" ht="65.25">
      <c r="A33" s="389"/>
      <c r="B33" s="89" t="s">
        <v>23</v>
      </c>
      <c r="C33" s="392"/>
      <c r="D33" s="88"/>
    </row>
    <row r="34" spans="1:4" ht="87">
      <c r="A34" s="390"/>
      <c r="B34" s="90" t="s">
        <v>24</v>
      </c>
      <c r="C34" s="393"/>
      <c r="D34" s="88"/>
    </row>
    <row r="35" spans="1:4">
      <c r="A35" s="91"/>
      <c r="B35" s="91"/>
      <c r="C35" s="92"/>
      <c r="D35" s="88"/>
    </row>
    <row r="36" spans="1:4">
      <c r="A36" s="93" t="s">
        <v>37</v>
      </c>
    </row>
    <row r="37" spans="1:4">
      <c r="A37" s="94" t="s">
        <v>38</v>
      </c>
    </row>
    <row r="38" spans="1:4">
      <c r="A38" s="94" t="s">
        <v>39</v>
      </c>
    </row>
    <row r="39" spans="1:4">
      <c r="A39" s="95" t="s">
        <v>40</v>
      </c>
    </row>
  </sheetData>
  <mergeCells count="14">
    <mergeCell ref="A28:A34"/>
    <mergeCell ref="B12:B13"/>
    <mergeCell ref="B20:B21"/>
    <mergeCell ref="B26:B27"/>
    <mergeCell ref="C3:C9"/>
    <mergeCell ref="C10:C13"/>
    <mergeCell ref="C14:C21"/>
    <mergeCell ref="C22:C27"/>
    <mergeCell ref="C28:C34"/>
    <mergeCell ref="A1:C1"/>
    <mergeCell ref="A3:A9"/>
    <mergeCell ref="A10:A13"/>
    <mergeCell ref="A14:A21"/>
    <mergeCell ref="A24:A27"/>
  </mergeCells>
  <pageMargins left="0.45" right="0.15625" top="0.26874999999999999" bottom="0.15625" header="0.31388888888888899" footer="0.15902777777777799"/>
  <pageSetup paperSize="9" scale="8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 tint="-0.249977111117893"/>
  </sheetPr>
  <dimension ref="A1:AR144"/>
  <sheetViews>
    <sheetView view="pageBreakPreview" zoomScale="60" zoomScaleNormal="70" workbookViewId="0">
      <pane xSplit="7" ySplit="8" topLeftCell="R9" activePane="bottomRight" state="frozen"/>
      <selection pane="topRight"/>
      <selection pane="bottomLeft"/>
      <selection pane="bottomRight" activeCell="C20" sqref="C20"/>
    </sheetView>
  </sheetViews>
  <sheetFormatPr defaultColWidth="9" defaultRowHeight="25.5" customHeight="1" outlineLevelCol="1"/>
  <cols>
    <col min="1" max="1" width="10.42578125" style="210" hidden="1" customWidth="1"/>
    <col min="2" max="2" width="12.28515625" style="269" customWidth="1"/>
    <col min="3" max="3" width="78.5703125" style="100" customWidth="1"/>
    <col min="4" max="4" width="16.5703125" style="270" hidden="1" customWidth="1" outlineLevel="1"/>
    <col min="5" max="5" width="14.42578125" style="270" customWidth="1" collapsed="1"/>
    <col min="6" max="6" width="16.42578125" style="270" customWidth="1"/>
    <col min="7" max="7" width="15.140625" style="271" hidden="1" customWidth="1" outlineLevel="1"/>
    <col min="8" max="8" width="15.85546875" style="271" customWidth="1" collapsed="1"/>
    <col min="9" max="9" width="16.7109375" style="271" hidden="1" customWidth="1"/>
    <col min="10" max="10" width="15.140625" style="271" hidden="1" customWidth="1" outlineLevel="1"/>
    <col min="11" max="11" width="15.28515625" style="271" customWidth="1" collapsed="1"/>
    <col min="12" max="12" width="16.85546875" style="271" hidden="1" customWidth="1"/>
    <col min="13" max="13" width="15.140625" style="271" hidden="1" customWidth="1" outlineLevel="1"/>
    <col min="14" max="14" width="13" style="271" customWidth="1" collapsed="1"/>
    <col min="15" max="15" width="18.140625" style="271" customWidth="1"/>
    <col min="16" max="16" width="15.140625" style="271" hidden="1" customWidth="1" outlineLevel="1"/>
    <col min="17" max="17" width="11.140625" style="271" customWidth="1" collapsed="1"/>
    <col min="18" max="18" width="15.42578125" style="271" customWidth="1"/>
    <col min="19" max="19" width="15.140625" style="271" hidden="1" customWidth="1" outlineLevel="1"/>
    <col min="20" max="20" width="9.42578125" style="271" customWidth="1" collapsed="1"/>
    <col min="21" max="21" width="9.42578125" style="271" customWidth="1"/>
    <col min="22" max="22" width="15.140625" style="271" hidden="1" customWidth="1" outlineLevel="1"/>
    <col min="23" max="23" width="9.140625" style="271" customWidth="1" collapsed="1"/>
    <col min="24" max="24" width="15.42578125" style="271" customWidth="1"/>
    <col min="25" max="25" width="15.140625" style="271" hidden="1" customWidth="1" outlineLevel="1"/>
    <col min="26" max="26" width="12.42578125" style="271" customWidth="1" collapsed="1"/>
    <col min="27" max="27" width="14.85546875" style="271" customWidth="1"/>
    <col min="28" max="28" width="15.140625" style="271" hidden="1" customWidth="1" outlineLevel="1"/>
    <col min="29" max="29" width="13.140625" style="271" bestFit="1" customWidth="1" collapsed="1"/>
    <col min="30" max="30" width="15.140625" style="271" customWidth="1"/>
    <col min="31" max="31" width="15.140625" style="271" hidden="1" customWidth="1" outlineLevel="1"/>
    <col min="32" max="32" width="12.5703125" style="271" customWidth="1" collapsed="1"/>
    <col min="33" max="33" width="16.5703125" style="271" customWidth="1"/>
    <col min="34" max="34" width="15.140625" style="271" hidden="1" customWidth="1" outlineLevel="1"/>
    <col min="35" max="35" width="13" style="271" customWidth="1" collapsed="1"/>
    <col min="36" max="36" width="16.42578125" style="271" customWidth="1"/>
    <col min="37" max="37" width="15.140625" style="271" hidden="1" customWidth="1" outlineLevel="1"/>
    <col min="38" max="38" width="14.85546875" style="271" customWidth="1" collapsed="1"/>
    <col min="39" max="39" width="16.42578125" style="271" customWidth="1"/>
    <col min="40" max="40" width="23.28515625" style="100" customWidth="1"/>
    <col min="41" max="41" width="23.28515625" style="96" customWidth="1"/>
    <col min="42" max="42" width="14.42578125" style="96" customWidth="1"/>
    <col min="43" max="43" width="12.28515625" style="100" customWidth="1"/>
    <col min="44" max="16384" width="9" style="100"/>
  </cols>
  <sheetData>
    <row r="1" spans="1:44" ht="27.95" customHeight="1">
      <c r="A1" s="168"/>
      <c r="B1" s="394" t="s">
        <v>41</v>
      </c>
      <c r="C1" s="394"/>
      <c r="D1" s="394"/>
      <c r="E1" s="394"/>
      <c r="F1" s="394"/>
      <c r="G1" s="394"/>
      <c r="H1" s="394"/>
      <c r="I1" s="394"/>
      <c r="J1" s="394"/>
      <c r="K1" s="394"/>
      <c r="L1" s="394"/>
      <c r="M1" s="394"/>
      <c r="N1" s="394"/>
      <c r="O1" s="394"/>
      <c r="P1" s="394"/>
      <c r="Q1" s="394"/>
      <c r="R1" s="394"/>
      <c r="S1" s="394"/>
      <c r="T1" s="394"/>
      <c r="U1" s="394"/>
      <c r="V1" s="394"/>
      <c r="W1" s="394"/>
      <c r="X1" s="394"/>
      <c r="Y1" s="394"/>
      <c r="Z1" s="394"/>
      <c r="AA1" s="394"/>
      <c r="AB1" s="394"/>
      <c r="AC1" s="394"/>
      <c r="AD1" s="394"/>
      <c r="AE1" s="394"/>
      <c r="AF1" s="394"/>
      <c r="AG1" s="394"/>
      <c r="AH1" s="394"/>
      <c r="AI1" s="394"/>
      <c r="AJ1" s="394"/>
      <c r="AK1" s="394"/>
      <c r="AL1" s="394"/>
      <c r="AM1" s="394"/>
      <c r="AO1" s="169" t="s">
        <v>42</v>
      </c>
      <c r="AP1" s="170" t="s">
        <v>43</v>
      </c>
    </row>
    <row r="2" spans="1:44" ht="27.95" customHeight="1">
      <c r="A2" s="168"/>
      <c r="B2" s="394" t="s">
        <v>240</v>
      </c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  <c r="Z2" s="394"/>
      <c r="AA2" s="394"/>
      <c r="AB2" s="394"/>
      <c r="AC2" s="394"/>
      <c r="AD2" s="394"/>
      <c r="AE2" s="394"/>
      <c r="AF2" s="394"/>
      <c r="AG2" s="394"/>
      <c r="AH2" s="394"/>
      <c r="AI2" s="394"/>
      <c r="AJ2" s="394"/>
      <c r="AK2" s="394"/>
      <c r="AL2" s="394"/>
      <c r="AM2" s="394"/>
      <c r="AO2" s="169" t="s">
        <v>42</v>
      </c>
      <c r="AP2" s="171" t="str">
        <f t="shared" ref="AP2:AP40" si="0">IF(AO2&lt;&gt;"",AO2,IF(C2&lt;&gt;"","Yes","No"))</f>
        <v>Yes</v>
      </c>
    </row>
    <row r="3" spans="1:44" ht="27.95" customHeight="1">
      <c r="A3" s="168"/>
      <c r="B3" s="394" t="s">
        <v>308</v>
      </c>
      <c r="C3" s="394"/>
      <c r="D3" s="394"/>
      <c r="E3" s="394"/>
      <c r="F3" s="394"/>
      <c r="G3" s="394"/>
      <c r="H3" s="394"/>
      <c r="I3" s="394"/>
      <c r="J3" s="394"/>
      <c r="K3" s="394"/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4"/>
      <c r="W3" s="394"/>
      <c r="X3" s="394"/>
      <c r="Y3" s="394"/>
      <c r="Z3" s="394"/>
      <c r="AA3" s="394"/>
      <c r="AB3" s="394"/>
      <c r="AC3" s="394"/>
      <c r="AD3" s="394"/>
      <c r="AE3" s="394"/>
      <c r="AF3" s="394"/>
      <c r="AG3" s="394"/>
      <c r="AH3" s="394"/>
      <c r="AI3" s="394"/>
      <c r="AJ3" s="394"/>
      <c r="AK3" s="394"/>
      <c r="AL3" s="394"/>
      <c r="AM3" s="394"/>
      <c r="AO3" s="169" t="s">
        <v>42</v>
      </c>
      <c r="AP3" s="171" t="str">
        <f t="shared" si="0"/>
        <v>Yes</v>
      </c>
    </row>
    <row r="4" spans="1:44" s="177" customFormat="1" ht="7.5" customHeight="1" thickBot="1">
      <c r="A4" s="172"/>
      <c r="B4" s="173"/>
      <c r="C4" s="174"/>
      <c r="D4" s="175"/>
      <c r="E4" s="175"/>
      <c r="F4" s="175"/>
      <c r="G4" s="176" t="str">
        <f>G7</f>
        <v xml:space="preserve">หมวด พ.ข.ต. </v>
      </c>
      <c r="H4" s="176" t="str">
        <f>G4</f>
        <v xml:space="preserve">หมวด พ.ข.ต. </v>
      </c>
      <c r="I4" s="176" t="str">
        <f>G4</f>
        <v xml:space="preserve">หมวด พ.ข.ต. </v>
      </c>
      <c r="J4" s="176" t="str">
        <f>J7</f>
        <v>หมวดค่าจ้างชั่วคราว</v>
      </c>
      <c r="K4" s="176" t="str">
        <f>J4</f>
        <v>หมวดค่าจ้างชั่วคราว</v>
      </c>
      <c r="L4" s="176" t="str">
        <f>J4</f>
        <v>หมวดค่าจ้างชั่วคราว</v>
      </c>
      <c r="M4" s="176" t="str">
        <f>M7</f>
        <v>หมวดค่าตอบแทน ใช้สอยและวัสดุ</v>
      </c>
      <c r="N4" s="176" t="str">
        <f>M4</f>
        <v>หมวดค่าตอบแทน ใช้สอยและวัสดุ</v>
      </c>
      <c r="O4" s="176" t="str">
        <f>M4</f>
        <v>หมวดค่าตอบแทน ใช้สอยและวัสดุ</v>
      </c>
      <c r="P4" s="176" t="str">
        <f>P7</f>
        <v>หมวดค่าตอบแทน</v>
      </c>
      <c r="Q4" s="176" t="str">
        <f>P4</f>
        <v>หมวดค่าตอบแทน</v>
      </c>
      <c r="R4" s="176" t="str">
        <f>P4</f>
        <v>หมวดค่าตอบแทน</v>
      </c>
      <c r="S4" s="176" t="str">
        <f>S7</f>
        <v>หมวดค่าใช้สอย (ค่าเช่าสำนักงาน)</v>
      </c>
      <c r="T4" s="176" t="str">
        <f>S4</f>
        <v>หมวดค่าใช้สอย (ค่าเช่าสำนักงาน)</v>
      </c>
      <c r="U4" s="176" t="str">
        <f>S4</f>
        <v>หมวดค่าใช้สอย (ค่าเช่าสำนักงาน)</v>
      </c>
      <c r="V4" s="176" t="str">
        <f>V7</f>
        <v>หมวดค่าใช้สอย</v>
      </c>
      <c r="W4" s="176" t="str">
        <f>V4</f>
        <v>หมวดค่าใช้สอย</v>
      </c>
      <c r="X4" s="176" t="str">
        <f>V4</f>
        <v>หมวดค่าใช้สอย</v>
      </c>
      <c r="Y4" s="176" t="str">
        <f>Y7</f>
        <v>หมวดวัสดุ</v>
      </c>
      <c r="Z4" s="176" t="str">
        <f>Y4</f>
        <v>หมวดวัสดุ</v>
      </c>
      <c r="AA4" s="176" t="str">
        <f>Y4</f>
        <v>หมวดวัสดุ</v>
      </c>
      <c r="AB4" s="176" t="str">
        <f>AB7</f>
        <v>หมวดสาธารณูปโภค</v>
      </c>
      <c r="AC4" s="176" t="str">
        <f>AB4</f>
        <v>หมวดสาธารณูปโภค</v>
      </c>
      <c r="AD4" s="176" t="str">
        <f>AB4</f>
        <v>หมวดสาธารณูปโภค</v>
      </c>
      <c r="AE4" s="176" t="str">
        <f>AE7</f>
        <v>ค่าใช้จ่ายเดินทางไปต่างประเทศชั่วคราว</v>
      </c>
      <c r="AF4" s="176" t="str">
        <f>AE4</f>
        <v>ค่าใช้จ่ายเดินทางไปต่างประเทศชั่วคราว</v>
      </c>
      <c r="AG4" s="176" t="str">
        <f>AE4</f>
        <v>ค่าใช้จ่ายเดินทางไปต่างประเทศชั่วคราว</v>
      </c>
      <c r="AH4" s="176" t="str">
        <f>AH6</f>
        <v>งบลงทุน (ครุภัณฑ์ ที่ดิน สิ่งก่อสร้าง)</v>
      </c>
      <c r="AI4" s="176" t="str">
        <f>AH4</f>
        <v>งบลงทุน (ครุภัณฑ์ ที่ดิน สิ่งก่อสร้าง)</v>
      </c>
      <c r="AJ4" s="176" t="str">
        <f>AH4</f>
        <v>งบลงทุน (ครุภัณฑ์ ที่ดิน สิ่งก่อสร้าง)</v>
      </c>
      <c r="AK4" s="176" t="str">
        <f>AK5</f>
        <v>เงินรับฝาก (โครงการ/รายได้แผ่นดิน)</v>
      </c>
      <c r="AL4" s="176" t="str">
        <f>AK4</f>
        <v>เงินรับฝาก (โครงการ/รายได้แผ่นดิน)</v>
      </c>
      <c r="AM4" s="176" t="str">
        <f>AK4</f>
        <v>เงินรับฝาก (โครงการ/รายได้แผ่นดิน)</v>
      </c>
      <c r="AO4" s="169" t="s">
        <v>44</v>
      </c>
      <c r="AP4" s="171" t="str">
        <f t="shared" si="0"/>
        <v>No</v>
      </c>
    </row>
    <row r="5" spans="1:44" ht="25.5" customHeight="1" thickBot="1">
      <c r="A5" s="168"/>
      <c r="B5" s="401" t="s">
        <v>45</v>
      </c>
      <c r="C5" s="405" t="s">
        <v>46</v>
      </c>
      <c r="D5" s="422" t="s">
        <v>47</v>
      </c>
      <c r="E5" s="423"/>
      <c r="F5" s="423"/>
      <c r="G5" s="395" t="s">
        <v>48</v>
      </c>
      <c r="H5" s="396"/>
      <c r="I5" s="396"/>
      <c r="J5" s="396"/>
      <c r="K5" s="396"/>
      <c r="L5" s="396"/>
      <c r="M5" s="396"/>
      <c r="N5" s="396"/>
      <c r="O5" s="397"/>
      <c r="P5" s="398" t="s">
        <v>49</v>
      </c>
      <c r="Q5" s="399"/>
      <c r="R5" s="399"/>
      <c r="S5" s="399"/>
      <c r="T5" s="399"/>
      <c r="U5" s="399"/>
      <c r="V5" s="399"/>
      <c r="W5" s="399"/>
      <c r="X5" s="399"/>
      <c r="Y5" s="399"/>
      <c r="Z5" s="399"/>
      <c r="AA5" s="399"/>
      <c r="AB5" s="399"/>
      <c r="AC5" s="399"/>
      <c r="AD5" s="399"/>
      <c r="AE5" s="399"/>
      <c r="AF5" s="399"/>
      <c r="AG5" s="399"/>
      <c r="AH5" s="399"/>
      <c r="AI5" s="399"/>
      <c r="AJ5" s="400"/>
      <c r="AK5" s="413" t="s">
        <v>50</v>
      </c>
      <c r="AL5" s="414"/>
      <c r="AM5" s="415"/>
      <c r="AO5" s="169" t="s">
        <v>42</v>
      </c>
      <c r="AP5" s="171" t="str">
        <f t="shared" si="0"/>
        <v>Yes</v>
      </c>
      <c r="AR5" s="178"/>
    </row>
    <row r="6" spans="1:44" ht="35.25" customHeight="1">
      <c r="A6" s="168"/>
      <c r="B6" s="402"/>
      <c r="C6" s="406"/>
      <c r="D6" s="424"/>
      <c r="E6" s="425"/>
      <c r="F6" s="425"/>
      <c r="G6" s="430" t="s">
        <v>51</v>
      </c>
      <c r="H6" s="431"/>
      <c r="I6" s="432"/>
      <c r="J6" s="432"/>
      <c r="K6" s="433"/>
      <c r="L6" s="434"/>
      <c r="M6" s="435" t="s">
        <v>52</v>
      </c>
      <c r="N6" s="436"/>
      <c r="O6" s="437"/>
      <c r="P6" s="448" t="s">
        <v>52</v>
      </c>
      <c r="Q6" s="449"/>
      <c r="R6" s="449"/>
      <c r="S6" s="449"/>
      <c r="T6" s="449"/>
      <c r="U6" s="449"/>
      <c r="V6" s="449"/>
      <c r="W6" s="449"/>
      <c r="X6" s="449"/>
      <c r="Y6" s="449"/>
      <c r="Z6" s="449"/>
      <c r="AA6" s="449"/>
      <c r="AB6" s="179"/>
      <c r="AC6" s="179"/>
      <c r="AD6" s="180"/>
      <c r="AE6" s="438" t="s">
        <v>53</v>
      </c>
      <c r="AF6" s="439"/>
      <c r="AG6" s="440"/>
      <c r="AH6" s="426" t="s">
        <v>54</v>
      </c>
      <c r="AI6" s="426"/>
      <c r="AJ6" s="427"/>
      <c r="AK6" s="416"/>
      <c r="AL6" s="417"/>
      <c r="AM6" s="418"/>
      <c r="AO6" s="169" t="s">
        <v>42</v>
      </c>
      <c r="AP6" s="171" t="str">
        <f t="shared" si="0"/>
        <v>Yes</v>
      </c>
      <c r="AR6" s="181"/>
    </row>
    <row r="7" spans="1:44" ht="68.25" customHeight="1">
      <c r="A7" s="168"/>
      <c r="B7" s="403"/>
      <c r="C7" s="407"/>
      <c r="D7" s="409" t="str">
        <f>'2. หน้างบรายจ่าย'!I6</f>
        <v>USD</v>
      </c>
      <c r="E7" s="409" t="str">
        <f>'2. หน้างบรายจ่าย'!J6</f>
        <v>USD</v>
      </c>
      <c r="F7" s="411" t="str">
        <f>'2. หน้างบรายจ่าย'!K6</f>
        <v>PHP</v>
      </c>
      <c r="G7" s="182" t="s">
        <v>55</v>
      </c>
      <c r="H7" s="183" t="s">
        <v>55</v>
      </c>
      <c r="I7" s="184" t="s">
        <v>55</v>
      </c>
      <c r="J7" s="450" t="s">
        <v>56</v>
      </c>
      <c r="K7" s="451"/>
      <c r="L7" s="452"/>
      <c r="M7" s="453" t="s">
        <v>57</v>
      </c>
      <c r="N7" s="454"/>
      <c r="O7" s="455"/>
      <c r="P7" s="456" t="s">
        <v>58</v>
      </c>
      <c r="Q7" s="457"/>
      <c r="R7" s="441"/>
      <c r="S7" s="458" t="s">
        <v>238</v>
      </c>
      <c r="T7" s="459"/>
      <c r="U7" s="457"/>
      <c r="V7" s="458" t="s">
        <v>59</v>
      </c>
      <c r="W7" s="459"/>
      <c r="X7" s="457"/>
      <c r="Y7" s="441" t="s">
        <v>60</v>
      </c>
      <c r="Z7" s="441"/>
      <c r="AA7" s="441"/>
      <c r="AB7" s="442" t="s">
        <v>61</v>
      </c>
      <c r="AC7" s="443"/>
      <c r="AD7" s="444"/>
      <c r="AE7" s="445" t="s">
        <v>62</v>
      </c>
      <c r="AF7" s="446"/>
      <c r="AG7" s="447"/>
      <c r="AH7" s="428"/>
      <c r="AI7" s="428"/>
      <c r="AJ7" s="429"/>
      <c r="AK7" s="419"/>
      <c r="AL7" s="420"/>
      <c r="AM7" s="421"/>
      <c r="AO7" s="169" t="s">
        <v>42</v>
      </c>
      <c r="AP7" s="171" t="str">
        <f t="shared" si="0"/>
        <v>Yes</v>
      </c>
      <c r="AR7" s="181"/>
    </row>
    <row r="8" spans="1:44" s="209" customFormat="1" ht="35.25" customHeight="1" thickBot="1">
      <c r="A8" s="185"/>
      <c r="B8" s="404"/>
      <c r="C8" s="408"/>
      <c r="D8" s="410"/>
      <c r="E8" s="410"/>
      <c r="F8" s="412"/>
      <c r="G8" s="186" t="str">
        <f>'2. หน้างบรายจ่าย'!I6</f>
        <v>USD</v>
      </c>
      <c r="H8" s="187" t="str">
        <f>'2. หน้างบรายจ่าย'!J6</f>
        <v>USD</v>
      </c>
      <c r="I8" s="188" t="str">
        <f>'2. หน้างบรายจ่าย'!K6</f>
        <v>PHP</v>
      </c>
      <c r="J8" s="189" t="str">
        <f>G8</f>
        <v>USD</v>
      </c>
      <c r="K8" s="188" t="str">
        <f>H8</f>
        <v>USD</v>
      </c>
      <c r="L8" s="190" t="str">
        <f>I8</f>
        <v>PHP</v>
      </c>
      <c r="M8" s="191" t="str">
        <f t="shared" ref="M8:AM8" si="1">J8</f>
        <v>USD</v>
      </c>
      <c r="N8" s="192" t="str">
        <f t="shared" si="1"/>
        <v>USD</v>
      </c>
      <c r="O8" s="193" t="str">
        <f t="shared" si="1"/>
        <v>PHP</v>
      </c>
      <c r="P8" s="194" t="str">
        <f t="shared" si="1"/>
        <v>USD</v>
      </c>
      <c r="Q8" s="195" t="str">
        <f t="shared" si="1"/>
        <v>USD</v>
      </c>
      <c r="R8" s="196" t="str">
        <f t="shared" si="1"/>
        <v>PHP</v>
      </c>
      <c r="S8" s="195" t="str">
        <f t="shared" ref="S8:X8" si="2">M8</f>
        <v>USD</v>
      </c>
      <c r="T8" s="195" t="str">
        <f t="shared" si="2"/>
        <v>USD</v>
      </c>
      <c r="U8" s="196" t="str">
        <f t="shared" si="2"/>
        <v>PHP</v>
      </c>
      <c r="V8" s="195" t="str">
        <f t="shared" si="2"/>
        <v>USD</v>
      </c>
      <c r="W8" s="195" t="str">
        <f t="shared" si="2"/>
        <v>USD</v>
      </c>
      <c r="X8" s="196" t="str">
        <f t="shared" si="2"/>
        <v>PHP</v>
      </c>
      <c r="Y8" s="196" t="str">
        <f t="shared" si="1"/>
        <v>USD</v>
      </c>
      <c r="Z8" s="196" t="str">
        <f t="shared" si="1"/>
        <v>USD</v>
      </c>
      <c r="AA8" s="196" t="str">
        <f t="shared" si="1"/>
        <v>PHP</v>
      </c>
      <c r="AB8" s="197" t="str">
        <f t="shared" si="1"/>
        <v>USD</v>
      </c>
      <c r="AC8" s="198" t="str">
        <f t="shared" si="1"/>
        <v>USD</v>
      </c>
      <c r="AD8" s="199" t="str">
        <f t="shared" si="1"/>
        <v>PHP</v>
      </c>
      <c r="AE8" s="200" t="str">
        <f t="shared" si="1"/>
        <v>USD</v>
      </c>
      <c r="AF8" s="201" t="str">
        <f t="shared" si="1"/>
        <v>USD</v>
      </c>
      <c r="AG8" s="202" t="str">
        <f t="shared" si="1"/>
        <v>PHP</v>
      </c>
      <c r="AH8" s="203" t="str">
        <f t="shared" si="1"/>
        <v>USD</v>
      </c>
      <c r="AI8" s="204" t="str">
        <f t="shared" si="1"/>
        <v>USD</v>
      </c>
      <c r="AJ8" s="205" t="str">
        <f t="shared" si="1"/>
        <v>PHP</v>
      </c>
      <c r="AK8" s="206" t="str">
        <f t="shared" si="1"/>
        <v>USD</v>
      </c>
      <c r="AL8" s="207" t="str">
        <f t="shared" si="1"/>
        <v>USD</v>
      </c>
      <c r="AM8" s="208" t="str">
        <f t="shared" si="1"/>
        <v>PHP</v>
      </c>
      <c r="AO8" s="169" t="s">
        <v>42</v>
      </c>
      <c r="AP8" s="171" t="str">
        <f t="shared" si="0"/>
        <v>Yes</v>
      </c>
      <c r="AR8" s="181"/>
    </row>
    <row r="9" spans="1:44" ht="25.5" customHeight="1">
      <c r="B9" s="211"/>
      <c r="C9" s="212" t="s">
        <v>63</v>
      </c>
      <c r="D9" s="213">
        <f>G9+J9+M9+P9+Y9+AB9+AE9+AH9+AK9+V9</f>
        <v>0</v>
      </c>
      <c r="E9" s="214">
        <f>H9+K9+N9+Q9+Z9+AC9+AF9+AI9+AL9+W9+T9</f>
        <v>286097.65000000002</v>
      </c>
      <c r="F9" s="213">
        <f>I9+L9+O9+R9+AA9+AD9+AG9+AJ9+AM9+X9+U9</f>
        <v>1703465.96</v>
      </c>
      <c r="G9" s="219"/>
      <c r="H9" s="219">
        <v>20387.5</v>
      </c>
      <c r="I9" s="219"/>
      <c r="J9" s="219"/>
      <c r="K9" s="219">
        <v>2974.92</v>
      </c>
      <c r="L9" s="219"/>
      <c r="M9" s="219"/>
      <c r="N9" s="219">
        <v>50779.62</v>
      </c>
      <c r="O9" s="217">
        <v>66050.11</v>
      </c>
      <c r="P9" s="218"/>
      <c r="Q9" s="215"/>
      <c r="R9" s="219">
        <v>-1702.61</v>
      </c>
      <c r="S9" s="219"/>
      <c r="T9" s="219"/>
      <c r="U9" s="219"/>
      <c r="V9" s="219"/>
      <c r="W9" s="219"/>
      <c r="X9" s="219">
        <v>308150.63</v>
      </c>
      <c r="Y9" s="219"/>
      <c r="Z9" s="219"/>
      <c r="AA9" s="219">
        <v>60920.44</v>
      </c>
      <c r="AB9" s="219"/>
      <c r="AC9" s="220"/>
      <c r="AD9" s="217">
        <v>80149.63</v>
      </c>
      <c r="AE9" s="218"/>
      <c r="AF9" s="216">
        <v>1294.9000000000001</v>
      </c>
      <c r="AG9" s="217"/>
      <c r="AH9" s="215"/>
      <c r="AI9" s="216"/>
      <c r="AJ9" s="217">
        <v>187163.58</v>
      </c>
      <c r="AK9" s="215"/>
      <c r="AL9" s="216">
        <v>210660.71</v>
      </c>
      <c r="AM9" s="217">
        <v>1002734.18</v>
      </c>
      <c r="AN9" s="221"/>
      <c r="AO9" s="169" t="s">
        <v>42</v>
      </c>
      <c r="AP9" s="171" t="str">
        <f t="shared" si="0"/>
        <v>Yes</v>
      </c>
      <c r="AR9" s="181"/>
    </row>
    <row r="10" spans="1:44" s="164" customFormat="1" ht="25.5" customHeight="1">
      <c r="A10" s="222"/>
      <c r="B10" s="223"/>
      <c r="C10" s="224" t="s">
        <v>64</v>
      </c>
      <c r="D10" s="225">
        <f>SUM(D11:D18)</f>
        <v>0</v>
      </c>
      <c r="E10" s="226">
        <f t="shared" ref="E10:F10" si="3">SUM(E11:E18)</f>
        <v>77337.97</v>
      </c>
      <c r="F10" s="225">
        <f t="shared" si="3"/>
        <v>0</v>
      </c>
      <c r="G10" s="225">
        <f t="shared" ref="G10:AM10" si="4">SUM(G11:G18)</f>
        <v>0</v>
      </c>
      <c r="H10" s="225">
        <f t="shared" ref="H10" si="5">SUM(H11:H18)</f>
        <v>0</v>
      </c>
      <c r="I10" s="225">
        <f t="shared" si="4"/>
        <v>0</v>
      </c>
      <c r="J10" s="225">
        <f t="shared" si="4"/>
        <v>0</v>
      </c>
      <c r="K10" s="225">
        <f t="shared" si="4"/>
        <v>0</v>
      </c>
      <c r="L10" s="225">
        <f t="shared" si="4"/>
        <v>0</v>
      </c>
      <c r="M10" s="225">
        <f t="shared" si="4"/>
        <v>0</v>
      </c>
      <c r="N10" s="225">
        <f t="shared" si="4"/>
        <v>0</v>
      </c>
      <c r="O10" s="228">
        <f t="shared" si="4"/>
        <v>0</v>
      </c>
      <c r="P10" s="227">
        <f t="shared" si="4"/>
        <v>0</v>
      </c>
      <c r="Q10" s="229">
        <f t="shared" si="4"/>
        <v>0</v>
      </c>
      <c r="R10" s="225">
        <f t="shared" si="4"/>
        <v>0</v>
      </c>
      <c r="S10" s="225">
        <f t="shared" ref="S10:U10" si="6">SUM(S11:S18)</f>
        <v>0</v>
      </c>
      <c r="T10" s="225">
        <f t="shared" si="6"/>
        <v>0</v>
      </c>
      <c r="U10" s="225">
        <f t="shared" si="6"/>
        <v>0</v>
      </c>
      <c r="V10" s="225">
        <f t="shared" si="4"/>
        <v>0</v>
      </c>
      <c r="W10" s="225">
        <f t="shared" si="4"/>
        <v>0</v>
      </c>
      <c r="X10" s="225">
        <f t="shared" si="4"/>
        <v>0</v>
      </c>
      <c r="Y10" s="225">
        <f t="shared" si="4"/>
        <v>0</v>
      </c>
      <c r="Z10" s="225">
        <f t="shared" si="4"/>
        <v>0</v>
      </c>
      <c r="AA10" s="225">
        <f t="shared" si="4"/>
        <v>0</v>
      </c>
      <c r="AB10" s="225">
        <f t="shared" si="4"/>
        <v>0</v>
      </c>
      <c r="AC10" s="226">
        <f t="shared" si="4"/>
        <v>0</v>
      </c>
      <c r="AD10" s="228">
        <f t="shared" si="4"/>
        <v>0</v>
      </c>
      <c r="AE10" s="227">
        <f t="shared" si="4"/>
        <v>0</v>
      </c>
      <c r="AF10" s="230">
        <f t="shared" si="4"/>
        <v>0</v>
      </c>
      <c r="AG10" s="228">
        <f t="shared" si="4"/>
        <v>0</v>
      </c>
      <c r="AH10" s="229">
        <f t="shared" si="4"/>
        <v>0</v>
      </c>
      <c r="AI10" s="230">
        <f t="shared" si="4"/>
        <v>0</v>
      </c>
      <c r="AJ10" s="228">
        <f t="shared" si="4"/>
        <v>0</v>
      </c>
      <c r="AK10" s="229">
        <f t="shared" si="4"/>
        <v>0</v>
      </c>
      <c r="AL10" s="230">
        <f t="shared" si="4"/>
        <v>77337.97</v>
      </c>
      <c r="AM10" s="228">
        <f t="shared" si="4"/>
        <v>0</v>
      </c>
      <c r="AO10" s="169" t="s">
        <v>42</v>
      </c>
      <c r="AP10" s="171" t="str">
        <f t="shared" si="0"/>
        <v>Yes</v>
      </c>
      <c r="AR10" s="181"/>
    </row>
    <row r="11" spans="1:44" s="164" customFormat="1" ht="79.5" hidden="1" customHeight="1">
      <c r="A11" s="222"/>
      <c r="B11" s="344"/>
      <c r="C11" s="273"/>
      <c r="D11" s="361">
        <f>G11+J11+M11+P11+S11+Y11+AB11+AE11+AH11+AK11+V11</f>
        <v>0</v>
      </c>
      <c r="E11" s="362">
        <f>H11+K11+N11+Q11+T11+Z11+AC11+AF11+AI11+AL11+W11</f>
        <v>0</v>
      </c>
      <c r="F11" s="363">
        <f t="shared" ref="F11" si="7">I11+L11+O11+R11+U11+AA11+AD11+AG11+AJ11+AM11+X11</f>
        <v>0</v>
      </c>
      <c r="G11" s="347">
        <v>0</v>
      </c>
      <c r="H11" s="347"/>
      <c r="I11" s="347"/>
      <c r="J11" s="347"/>
      <c r="K11" s="347"/>
      <c r="L11" s="347"/>
      <c r="M11" s="347"/>
      <c r="N11" s="347"/>
      <c r="O11" s="348"/>
      <c r="P11" s="349"/>
      <c r="Q11" s="350"/>
      <c r="R11" s="347"/>
      <c r="S11" s="347"/>
      <c r="T11" s="347"/>
      <c r="U11" s="347"/>
      <c r="V11" s="347"/>
      <c r="W11" s="347"/>
      <c r="X11" s="347"/>
      <c r="Y11" s="347"/>
      <c r="Z11" s="347"/>
      <c r="AA11" s="347"/>
      <c r="AB11" s="347"/>
      <c r="AC11" s="351"/>
      <c r="AD11" s="348"/>
      <c r="AE11" s="349"/>
      <c r="AF11" s="352"/>
      <c r="AG11" s="348"/>
      <c r="AH11" s="350"/>
      <c r="AI11" s="352"/>
      <c r="AJ11" s="348"/>
      <c r="AK11" s="350"/>
      <c r="AL11" s="352"/>
      <c r="AM11" s="348"/>
      <c r="AN11" s="233"/>
      <c r="AO11" s="169" t="s">
        <v>42</v>
      </c>
      <c r="AP11" s="171" t="str">
        <f t="shared" si="0"/>
        <v>Yes</v>
      </c>
      <c r="AR11" s="181"/>
    </row>
    <row r="12" spans="1:44" ht="27">
      <c r="B12" s="344" t="s">
        <v>312</v>
      </c>
      <c r="C12" s="273" t="s">
        <v>311</v>
      </c>
      <c r="D12" s="343">
        <f t="shared" ref="D12:D18" si="8">G12+J12+M12+P12+S12+Y12+AB12+AE12+AH12+AK12+V12</f>
        <v>0</v>
      </c>
      <c r="E12" s="345">
        <f t="shared" ref="E12:E18" si="9">H12+K12+N12+Q12+T12+Z12+AC12+AF12+AI12+AL12+W12</f>
        <v>77337.97</v>
      </c>
      <c r="F12" s="346">
        <f t="shared" ref="F12:F18" si="10">I12+L12+O12+R12+U12+AA12+AD12+AG12+AJ12+AM12+X12</f>
        <v>0</v>
      </c>
      <c r="G12" s="347"/>
      <c r="H12" s="347"/>
      <c r="I12" s="347"/>
      <c r="J12" s="347"/>
      <c r="K12" s="347"/>
      <c r="L12" s="347"/>
      <c r="M12" s="347"/>
      <c r="N12" s="347"/>
      <c r="O12" s="348"/>
      <c r="P12" s="349"/>
      <c r="Q12" s="350"/>
      <c r="R12" s="347"/>
      <c r="S12" s="347"/>
      <c r="T12" s="347"/>
      <c r="U12" s="347"/>
      <c r="V12" s="347"/>
      <c r="W12" s="347"/>
      <c r="X12" s="347"/>
      <c r="Y12" s="347"/>
      <c r="Z12" s="347"/>
      <c r="AA12" s="347"/>
      <c r="AB12" s="347"/>
      <c r="AC12" s="351"/>
      <c r="AD12" s="348"/>
      <c r="AE12" s="349"/>
      <c r="AF12" s="352"/>
      <c r="AG12" s="348"/>
      <c r="AH12" s="350"/>
      <c r="AI12" s="352"/>
      <c r="AJ12" s="348"/>
      <c r="AK12" s="350"/>
      <c r="AL12" s="352">
        <v>77337.97</v>
      </c>
      <c r="AM12" s="348"/>
      <c r="AO12" s="169" t="s">
        <v>42</v>
      </c>
      <c r="AP12" s="171" t="str">
        <f t="shared" si="0"/>
        <v>Yes</v>
      </c>
      <c r="AR12" s="181"/>
    </row>
    <row r="13" spans="1:44" ht="27" hidden="1">
      <c r="B13" s="344"/>
      <c r="C13" s="273"/>
      <c r="D13" s="343">
        <f t="shared" si="8"/>
        <v>0</v>
      </c>
      <c r="E13" s="345">
        <f t="shared" si="9"/>
        <v>0</v>
      </c>
      <c r="F13" s="346">
        <f t="shared" si="10"/>
        <v>0</v>
      </c>
      <c r="G13" s="347"/>
      <c r="H13" s="347"/>
      <c r="I13" s="347"/>
      <c r="J13" s="347"/>
      <c r="K13" s="347"/>
      <c r="L13" s="347"/>
      <c r="M13" s="347"/>
      <c r="N13" s="347"/>
      <c r="O13" s="348"/>
      <c r="P13" s="349"/>
      <c r="Q13" s="350"/>
      <c r="R13" s="347"/>
      <c r="S13" s="347"/>
      <c r="T13" s="347"/>
      <c r="U13" s="347"/>
      <c r="V13" s="347"/>
      <c r="W13" s="347"/>
      <c r="X13" s="347"/>
      <c r="Y13" s="347"/>
      <c r="Z13" s="347"/>
      <c r="AA13" s="347"/>
      <c r="AB13" s="347"/>
      <c r="AC13" s="351"/>
      <c r="AD13" s="348"/>
      <c r="AE13" s="349"/>
      <c r="AF13" s="352"/>
      <c r="AG13" s="348"/>
      <c r="AH13" s="350"/>
      <c r="AI13" s="352"/>
      <c r="AJ13" s="348"/>
      <c r="AK13" s="350"/>
      <c r="AL13" s="352"/>
      <c r="AM13" s="348"/>
      <c r="AO13" s="169" t="s">
        <v>42</v>
      </c>
      <c r="AP13" s="171" t="str">
        <f t="shared" si="0"/>
        <v>Yes</v>
      </c>
      <c r="AR13" s="181"/>
    </row>
    <row r="14" spans="1:44" ht="58.5" hidden="1" customHeight="1">
      <c r="B14" s="344"/>
      <c r="C14" s="273"/>
      <c r="D14" s="343">
        <f t="shared" si="8"/>
        <v>0</v>
      </c>
      <c r="E14" s="345">
        <f t="shared" si="9"/>
        <v>0</v>
      </c>
      <c r="F14" s="346">
        <f t="shared" si="10"/>
        <v>0</v>
      </c>
      <c r="G14" s="347"/>
      <c r="H14" s="347"/>
      <c r="I14" s="347"/>
      <c r="J14" s="347"/>
      <c r="K14" s="347"/>
      <c r="L14" s="347"/>
      <c r="M14" s="347"/>
      <c r="N14" s="347"/>
      <c r="O14" s="348"/>
      <c r="P14" s="349"/>
      <c r="Q14" s="350"/>
      <c r="R14" s="347"/>
      <c r="S14" s="347"/>
      <c r="T14" s="347"/>
      <c r="U14" s="347"/>
      <c r="V14" s="347"/>
      <c r="W14" s="347"/>
      <c r="X14" s="347"/>
      <c r="Y14" s="347"/>
      <c r="Z14" s="347"/>
      <c r="AA14" s="347"/>
      <c r="AB14" s="347"/>
      <c r="AC14" s="351"/>
      <c r="AD14" s="348"/>
      <c r="AE14" s="349"/>
      <c r="AF14" s="352"/>
      <c r="AG14" s="348"/>
      <c r="AH14" s="350"/>
      <c r="AI14" s="352"/>
      <c r="AJ14" s="348"/>
      <c r="AK14" s="350"/>
      <c r="AL14" s="352"/>
      <c r="AM14" s="348"/>
      <c r="AO14" s="169"/>
      <c r="AP14" s="171"/>
      <c r="AR14" s="181"/>
    </row>
    <row r="15" spans="1:44" ht="25.5" hidden="1" customHeight="1">
      <c r="B15" s="344"/>
      <c r="C15" s="273"/>
      <c r="D15" s="343">
        <f t="shared" si="8"/>
        <v>0</v>
      </c>
      <c r="E15" s="345">
        <f t="shared" si="9"/>
        <v>0</v>
      </c>
      <c r="F15" s="346">
        <f t="shared" si="10"/>
        <v>0</v>
      </c>
      <c r="G15" s="347"/>
      <c r="H15" s="347"/>
      <c r="I15" s="347"/>
      <c r="J15" s="347"/>
      <c r="K15" s="347"/>
      <c r="L15" s="347"/>
      <c r="M15" s="347"/>
      <c r="N15" s="347"/>
      <c r="O15" s="348"/>
      <c r="P15" s="349"/>
      <c r="Q15" s="350"/>
      <c r="R15" s="347"/>
      <c r="S15" s="347"/>
      <c r="T15" s="347"/>
      <c r="U15" s="347"/>
      <c r="V15" s="347"/>
      <c r="W15" s="347"/>
      <c r="X15" s="347"/>
      <c r="Y15" s="347"/>
      <c r="Z15" s="347"/>
      <c r="AA15" s="347"/>
      <c r="AB15" s="347"/>
      <c r="AC15" s="351"/>
      <c r="AD15" s="348"/>
      <c r="AE15" s="349"/>
      <c r="AF15" s="352"/>
      <c r="AG15" s="348"/>
      <c r="AH15" s="350"/>
      <c r="AI15" s="352"/>
      <c r="AJ15" s="348"/>
      <c r="AK15" s="350"/>
      <c r="AL15" s="352"/>
      <c r="AM15" s="348"/>
      <c r="AO15" s="169"/>
      <c r="AP15" s="171"/>
      <c r="AR15" s="181"/>
    </row>
    <row r="16" spans="1:44" ht="25.5" hidden="1" customHeight="1">
      <c r="B16" s="344"/>
      <c r="C16" s="273"/>
      <c r="D16" s="343">
        <f t="shared" si="8"/>
        <v>0</v>
      </c>
      <c r="E16" s="345">
        <f t="shared" si="9"/>
        <v>0</v>
      </c>
      <c r="F16" s="346">
        <f t="shared" si="10"/>
        <v>0</v>
      </c>
      <c r="G16" s="347"/>
      <c r="H16" s="347"/>
      <c r="I16" s="347"/>
      <c r="J16" s="347"/>
      <c r="K16" s="347"/>
      <c r="L16" s="347"/>
      <c r="M16" s="347"/>
      <c r="N16" s="347"/>
      <c r="O16" s="348"/>
      <c r="P16" s="349"/>
      <c r="Q16" s="350"/>
      <c r="R16" s="347"/>
      <c r="S16" s="347"/>
      <c r="T16" s="347"/>
      <c r="U16" s="347"/>
      <c r="V16" s="347"/>
      <c r="W16" s="347"/>
      <c r="X16" s="347"/>
      <c r="Y16" s="347"/>
      <c r="Z16" s="347"/>
      <c r="AA16" s="347"/>
      <c r="AB16" s="347"/>
      <c r="AC16" s="351"/>
      <c r="AD16" s="348"/>
      <c r="AE16" s="349"/>
      <c r="AF16" s="352"/>
      <c r="AG16" s="348"/>
      <c r="AH16" s="350"/>
      <c r="AI16" s="352"/>
      <c r="AJ16" s="348"/>
      <c r="AK16" s="350"/>
      <c r="AL16" s="352"/>
      <c r="AM16" s="348"/>
      <c r="AO16" s="169"/>
      <c r="AP16" s="171"/>
      <c r="AR16" s="181"/>
    </row>
    <row r="17" spans="1:44" ht="25.5" hidden="1" customHeight="1">
      <c r="B17" s="344"/>
      <c r="C17" s="273"/>
      <c r="D17" s="343">
        <f t="shared" si="8"/>
        <v>0</v>
      </c>
      <c r="E17" s="345">
        <f t="shared" si="9"/>
        <v>0</v>
      </c>
      <c r="F17" s="346">
        <f t="shared" si="10"/>
        <v>0</v>
      </c>
      <c r="G17" s="347"/>
      <c r="H17" s="347"/>
      <c r="I17" s="347"/>
      <c r="J17" s="347"/>
      <c r="K17" s="347"/>
      <c r="L17" s="347"/>
      <c r="M17" s="347"/>
      <c r="N17" s="347"/>
      <c r="O17" s="348"/>
      <c r="P17" s="349"/>
      <c r="Q17" s="350"/>
      <c r="R17" s="347"/>
      <c r="S17" s="347"/>
      <c r="T17" s="347"/>
      <c r="U17" s="347"/>
      <c r="V17" s="347"/>
      <c r="W17" s="347"/>
      <c r="X17" s="347"/>
      <c r="Y17" s="347"/>
      <c r="Z17" s="347"/>
      <c r="AA17" s="347"/>
      <c r="AB17" s="347"/>
      <c r="AC17" s="351"/>
      <c r="AD17" s="348"/>
      <c r="AE17" s="349"/>
      <c r="AF17" s="352"/>
      <c r="AG17" s="348"/>
      <c r="AH17" s="350"/>
      <c r="AI17" s="352"/>
      <c r="AJ17" s="348"/>
      <c r="AK17" s="350"/>
      <c r="AL17" s="352"/>
      <c r="AM17" s="348"/>
      <c r="AO17" s="169" t="s">
        <v>42</v>
      </c>
      <c r="AP17" s="171" t="str">
        <f t="shared" si="0"/>
        <v>Yes</v>
      </c>
      <c r="AR17" s="181"/>
    </row>
    <row r="18" spans="1:44" ht="25.5" hidden="1" customHeight="1">
      <c r="B18" s="234"/>
      <c r="C18" s="126"/>
      <c r="D18" s="231">
        <f t="shared" si="8"/>
        <v>0</v>
      </c>
      <c r="E18" s="353">
        <f t="shared" si="9"/>
        <v>0</v>
      </c>
      <c r="F18" s="354">
        <f t="shared" si="10"/>
        <v>0</v>
      </c>
      <c r="G18" s="355"/>
      <c r="H18" s="355"/>
      <c r="I18" s="355"/>
      <c r="J18" s="355"/>
      <c r="K18" s="355"/>
      <c r="L18" s="355"/>
      <c r="M18" s="355"/>
      <c r="N18" s="355"/>
      <c r="O18" s="356"/>
      <c r="P18" s="357"/>
      <c r="Q18" s="358"/>
      <c r="R18" s="355"/>
      <c r="S18" s="355"/>
      <c r="T18" s="355"/>
      <c r="U18" s="355"/>
      <c r="V18" s="355"/>
      <c r="W18" s="355"/>
      <c r="X18" s="355"/>
      <c r="Y18" s="355"/>
      <c r="Z18" s="355"/>
      <c r="AA18" s="355"/>
      <c r="AB18" s="355"/>
      <c r="AC18" s="359"/>
      <c r="AD18" s="356"/>
      <c r="AE18" s="357"/>
      <c r="AF18" s="360"/>
      <c r="AG18" s="356"/>
      <c r="AH18" s="358"/>
      <c r="AI18" s="360"/>
      <c r="AJ18" s="356"/>
      <c r="AK18" s="358"/>
      <c r="AL18" s="360"/>
      <c r="AM18" s="356"/>
      <c r="AO18" s="169" t="s">
        <v>42</v>
      </c>
      <c r="AP18" s="171" t="str">
        <f t="shared" si="0"/>
        <v>Yes</v>
      </c>
    </row>
    <row r="19" spans="1:44" ht="25.5" customHeight="1">
      <c r="B19" s="241"/>
      <c r="C19" s="242" t="s">
        <v>65</v>
      </c>
      <c r="D19" s="225">
        <f>SUM(D20:D28)</f>
        <v>0</v>
      </c>
      <c r="E19" s="226">
        <f t="shared" ref="E19" si="11">SUM(E20:E28)</f>
        <v>-77337.97</v>
      </c>
      <c r="F19" s="225">
        <f>SUM(F20:F28)</f>
        <v>4462400.87</v>
      </c>
      <c r="G19" s="225">
        <f t="shared" ref="G19:AM19" si="12">SUM(G20:G28)</f>
        <v>0</v>
      </c>
      <c r="H19" s="225">
        <f t="shared" ref="H19" si="13">SUM(H20:H28)</f>
        <v>0</v>
      </c>
      <c r="I19" s="225">
        <f t="shared" si="12"/>
        <v>0</v>
      </c>
      <c r="J19" s="225">
        <f t="shared" si="12"/>
        <v>0</v>
      </c>
      <c r="K19" s="225">
        <f t="shared" si="12"/>
        <v>0</v>
      </c>
      <c r="L19" s="225">
        <f t="shared" si="12"/>
        <v>0</v>
      </c>
      <c r="M19" s="225">
        <f t="shared" si="12"/>
        <v>0</v>
      </c>
      <c r="N19" s="225">
        <f t="shared" si="12"/>
        <v>0</v>
      </c>
      <c r="O19" s="228">
        <f t="shared" si="12"/>
        <v>0</v>
      </c>
      <c r="P19" s="227">
        <f t="shared" si="12"/>
        <v>0</v>
      </c>
      <c r="Q19" s="229">
        <f t="shared" si="12"/>
        <v>0</v>
      </c>
      <c r="R19" s="225">
        <f t="shared" si="12"/>
        <v>0</v>
      </c>
      <c r="S19" s="225">
        <f t="shared" ref="S19:U19" si="14">SUM(S20:S28)</f>
        <v>0</v>
      </c>
      <c r="T19" s="225">
        <f t="shared" si="14"/>
        <v>0</v>
      </c>
      <c r="U19" s="225">
        <f t="shared" si="14"/>
        <v>0</v>
      </c>
      <c r="V19" s="225">
        <f t="shared" si="12"/>
        <v>0</v>
      </c>
      <c r="W19" s="225">
        <f t="shared" si="12"/>
        <v>0</v>
      </c>
      <c r="X19" s="225">
        <f t="shared" si="12"/>
        <v>0</v>
      </c>
      <c r="Y19" s="225">
        <f t="shared" si="12"/>
        <v>0</v>
      </c>
      <c r="Z19" s="225">
        <f t="shared" si="12"/>
        <v>0</v>
      </c>
      <c r="AA19" s="225">
        <f t="shared" si="12"/>
        <v>0</v>
      </c>
      <c r="AB19" s="225">
        <f t="shared" si="12"/>
        <v>0</v>
      </c>
      <c r="AC19" s="226">
        <f t="shared" si="12"/>
        <v>0</v>
      </c>
      <c r="AD19" s="228">
        <f t="shared" si="12"/>
        <v>0</v>
      </c>
      <c r="AE19" s="227">
        <f t="shared" si="12"/>
        <v>0</v>
      </c>
      <c r="AF19" s="230">
        <f t="shared" si="12"/>
        <v>0</v>
      </c>
      <c r="AG19" s="228">
        <f t="shared" si="12"/>
        <v>0</v>
      </c>
      <c r="AH19" s="229">
        <f t="shared" si="12"/>
        <v>0</v>
      </c>
      <c r="AI19" s="230">
        <f t="shared" si="12"/>
        <v>0</v>
      </c>
      <c r="AJ19" s="228">
        <f t="shared" si="12"/>
        <v>0</v>
      </c>
      <c r="AK19" s="229">
        <f t="shared" si="12"/>
        <v>0</v>
      </c>
      <c r="AL19" s="230">
        <f t="shared" si="12"/>
        <v>-77337.97</v>
      </c>
      <c r="AM19" s="228">
        <f t="shared" si="12"/>
        <v>4462400.87</v>
      </c>
      <c r="AO19" s="169" t="s">
        <v>42</v>
      </c>
      <c r="AP19" s="171" t="str">
        <f t="shared" si="0"/>
        <v>Yes</v>
      </c>
    </row>
    <row r="20" spans="1:44" ht="54">
      <c r="B20" s="282" t="s">
        <v>310</v>
      </c>
      <c r="C20" s="273" t="s">
        <v>309</v>
      </c>
      <c r="D20" s="274">
        <f t="shared" ref="D20:D28" si="15">G20+J20+M20+P20+S20+Y20+AB20+AE20+AH20+AK20+V20</f>
        <v>0</v>
      </c>
      <c r="E20" s="275">
        <f t="shared" ref="E20:E28" si="16">H20+K20+N20+Q20+T20+Z20+AC20+AF20+AI20+AL20+W20</f>
        <v>-77337.97</v>
      </c>
      <c r="F20" s="274">
        <f t="shared" ref="F20:F28" si="17">I20+L20+O20+R20+U20+AA20+AD20+AG20+AJ20+AM20+X20</f>
        <v>4462400.87</v>
      </c>
      <c r="G20" s="277"/>
      <c r="H20" s="277"/>
      <c r="I20" s="277"/>
      <c r="J20" s="277"/>
      <c r="K20" s="277"/>
      <c r="L20" s="277"/>
      <c r="M20" s="277"/>
      <c r="N20" s="277"/>
      <c r="O20" s="279"/>
      <c r="P20" s="276"/>
      <c r="Q20" s="280"/>
      <c r="R20" s="277"/>
      <c r="S20" s="277"/>
      <c r="T20" s="277"/>
      <c r="U20" s="277"/>
      <c r="V20" s="277"/>
      <c r="W20" s="277"/>
      <c r="X20" s="277"/>
      <c r="Y20" s="277"/>
      <c r="Z20" s="277"/>
      <c r="AA20" s="277"/>
      <c r="AB20" s="277"/>
      <c r="AC20" s="278"/>
      <c r="AD20" s="279"/>
      <c r="AE20" s="276"/>
      <c r="AF20" s="281"/>
      <c r="AG20" s="279"/>
      <c r="AH20" s="280"/>
      <c r="AI20" s="281"/>
      <c r="AJ20" s="279"/>
      <c r="AK20" s="280"/>
      <c r="AL20" s="281">
        <v>-77337.97</v>
      </c>
      <c r="AM20" s="279">
        <v>4462400.87</v>
      </c>
      <c r="AO20" s="169" t="s">
        <v>42</v>
      </c>
      <c r="AP20" s="171" t="str">
        <f t="shared" si="0"/>
        <v>Yes</v>
      </c>
    </row>
    <row r="21" spans="1:44" ht="78" hidden="1" customHeight="1">
      <c r="B21" s="282"/>
      <c r="C21" s="273"/>
      <c r="D21" s="274">
        <f t="shared" si="15"/>
        <v>0</v>
      </c>
      <c r="E21" s="275">
        <f t="shared" si="16"/>
        <v>0</v>
      </c>
      <c r="F21" s="274">
        <f t="shared" si="17"/>
        <v>0</v>
      </c>
      <c r="G21" s="277"/>
      <c r="H21" s="277"/>
      <c r="I21" s="277"/>
      <c r="J21" s="277"/>
      <c r="K21" s="277"/>
      <c r="L21" s="277"/>
      <c r="M21" s="277"/>
      <c r="N21" s="277"/>
      <c r="O21" s="279"/>
      <c r="P21" s="276"/>
      <c r="Q21" s="280"/>
      <c r="R21" s="277"/>
      <c r="S21" s="277"/>
      <c r="T21" s="277"/>
      <c r="U21" s="277"/>
      <c r="V21" s="277"/>
      <c r="W21" s="277"/>
      <c r="X21" s="277"/>
      <c r="Y21" s="277"/>
      <c r="Z21" s="277"/>
      <c r="AA21" s="277"/>
      <c r="AB21" s="277"/>
      <c r="AC21" s="278"/>
      <c r="AD21" s="279"/>
      <c r="AE21" s="276"/>
      <c r="AF21" s="281"/>
      <c r="AG21" s="279"/>
      <c r="AH21" s="280"/>
      <c r="AI21" s="281"/>
      <c r="AJ21" s="279"/>
      <c r="AK21" s="280"/>
      <c r="AL21" s="281"/>
      <c r="AM21" s="279"/>
      <c r="AO21" s="169" t="s">
        <v>42</v>
      </c>
      <c r="AP21" s="171" t="str">
        <f t="shared" si="0"/>
        <v>Yes</v>
      </c>
      <c r="AR21" s="243"/>
    </row>
    <row r="22" spans="1:44" ht="27" hidden="1">
      <c r="B22" s="282"/>
      <c r="C22" s="273"/>
      <c r="D22" s="274">
        <f t="shared" si="15"/>
        <v>0</v>
      </c>
      <c r="E22" s="275">
        <f t="shared" si="16"/>
        <v>0</v>
      </c>
      <c r="F22" s="274">
        <f t="shared" si="17"/>
        <v>0</v>
      </c>
      <c r="G22" s="277"/>
      <c r="H22" s="277"/>
      <c r="I22" s="277"/>
      <c r="J22" s="277"/>
      <c r="K22" s="277"/>
      <c r="L22" s="277"/>
      <c r="M22" s="277"/>
      <c r="N22" s="277"/>
      <c r="O22" s="279"/>
      <c r="P22" s="276"/>
      <c r="Q22" s="280"/>
      <c r="R22" s="277"/>
      <c r="S22" s="277"/>
      <c r="T22" s="277"/>
      <c r="U22" s="277"/>
      <c r="V22" s="277"/>
      <c r="W22" s="277"/>
      <c r="X22" s="277"/>
      <c r="Y22" s="277"/>
      <c r="Z22" s="277"/>
      <c r="AA22" s="277"/>
      <c r="AB22" s="277"/>
      <c r="AC22" s="278"/>
      <c r="AD22" s="279"/>
      <c r="AE22" s="276"/>
      <c r="AF22" s="281"/>
      <c r="AG22" s="279"/>
      <c r="AH22" s="280"/>
      <c r="AI22" s="281"/>
      <c r="AJ22" s="279"/>
      <c r="AK22" s="280"/>
      <c r="AL22" s="281"/>
      <c r="AM22" s="279"/>
      <c r="AO22" s="169"/>
      <c r="AP22" s="171"/>
      <c r="AR22" s="243"/>
    </row>
    <row r="23" spans="1:44" ht="25.5" hidden="1" customHeight="1">
      <c r="B23" s="282"/>
      <c r="C23" s="273" t="s">
        <v>66</v>
      </c>
      <c r="D23" s="274">
        <f t="shared" si="15"/>
        <v>0</v>
      </c>
      <c r="E23" s="275">
        <f t="shared" si="16"/>
        <v>0</v>
      </c>
      <c r="F23" s="274">
        <f t="shared" si="17"/>
        <v>0</v>
      </c>
      <c r="G23" s="277"/>
      <c r="H23" s="277"/>
      <c r="I23" s="277"/>
      <c r="J23" s="277"/>
      <c r="K23" s="277"/>
      <c r="L23" s="277"/>
      <c r="M23" s="277"/>
      <c r="N23" s="277"/>
      <c r="O23" s="279"/>
      <c r="P23" s="276"/>
      <c r="Q23" s="280"/>
      <c r="R23" s="277"/>
      <c r="S23" s="277"/>
      <c r="T23" s="277"/>
      <c r="U23" s="277"/>
      <c r="V23" s="277"/>
      <c r="W23" s="277"/>
      <c r="X23" s="277"/>
      <c r="Y23" s="277"/>
      <c r="Z23" s="277"/>
      <c r="AA23" s="277"/>
      <c r="AB23" s="277"/>
      <c r="AC23" s="278"/>
      <c r="AD23" s="279"/>
      <c r="AE23" s="276"/>
      <c r="AF23" s="281"/>
      <c r="AG23" s="279"/>
      <c r="AH23" s="280"/>
      <c r="AI23" s="281"/>
      <c r="AJ23" s="279"/>
      <c r="AK23" s="280"/>
      <c r="AL23" s="281"/>
      <c r="AM23" s="279"/>
      <c r="AO23" s="169"/>
      <c r="AP23" s="171"/>
      <c r="AR23" s="243"/>
    </row>
    <row r="24" spans="1:44" ht="25.5" hidden="1" customHeight="1">
      <c r="B24" s="282"/>
      <c r="C24" s="273" t="s">
        <v>66</v>
      </c>
      <c r="D24" s="274">
        <f t="shared" si="15"/>
        <v>0</v>
      </c>
      <c r="E24" s="275">
        <f t="shared" si="16"/>
        <v>0</v>
      </c>
      <c r="F24" s="274">
        <f t="shared" si="17"/>
        <v>0</v>
      </c>
      <c r="G24" s="277"/>
      <c r="H24" s="277"/>
      <c r="I24" s="277"/>
      <c r="J24" s="277"/>
      <c r="K24" s="277"/>
      <c r="L24" s="277"/>
      <c r="M24" s="277"/>
      <c r="N24" s="277"/>
      <c r="O24" s="279"/>
      <c r="P24" s="276"/>
      <c r="Q24" s="280"/>
      <c r="R24" s="277"/>
      <c r="S24" s="277"/>
      <c r="T24" s="277"/>
      <c r="U24" s="277"/>
      <c r="V24" s="277"/>
      <c r="W24" s="277"/>
      <c r="X24" s="277"/>
      <c r="Y24" s="277"/>
      <c r="Z24" s="277"/>
      <c r="AA24" s="277"/>
      <c r="AB24" s="277"/>
      <c r="AC24" s="278"/>
      <c r="AD24" s="279"/>
      <c r="AE24" s="276"/>
      <c r="AF24" s="281"/>
      <c r="AG24" s="279"/>
      <c r="AH24" s="280"/>
      <c r="AI24" s="281"/>
      <c r="AJ24" s="279"/>
      <c r="AK24" s="280"/>
      <c r="AL24" s="281"/>
      <c r="AM24" s="279"/>
      <c r="AO24" s="169"/>
      <c r="AP24" s="171"/>
      <c r="AR24" s="243"/>
    </row>
    <row r="25" spans="1:44" ht="25.5" hidden="1" customHeight="1">
      <c r="B25" s="234"/>
      <c r="C25" s="126" t="s">
        <v>66</v>
      </c>
      <c r="D25" s="231">
        <f t="shared" si="15"/>
        <v>0</v>
      </c>
      <c r="E25" s="232">
        <f t="shared" si="16"/>
        <v>0</v>
      </c>
      <c r="F25" s="231">
        <f t="shared" si="17"/>
        <v>0</v>
      </c>
      <c r="G25" s="236"/>
      <c r="H25" s="236"/>
      <c r="I25" s="236"/>
      <c r="J25" s="236"/>
      <c r="K25" s="236"/>
      <c r="L25" s="236"/>
      <c r="M25" s="236"/>
      <c r="N25" s="236"/>
      <c r="O25" s="238"/>
      <c r="P25" s="235"/>
      <c r="Q25" s="239"/>
      <c r="R25" s="236"/>
      <c r="S25" s="236"/>
      <c r="T25" s="236"/>
      <c r="U25" s="236"/>
      <c r="V25" s="236"/>
      <c r="W25" s="236"/>
      <c r="X25" s="236"/>
      <c r="Y25" s="236"/>
      <c r="Z25" s="236"/>
      <c r="AA25" s="236"/>
      <c r="AB25" s="236"/>
      <c r="AC25" s="237"/>
      <c r="AD25" s="238"/>
      <c r="AE25" s="235"/>
      <c r="AF25" s="240"/>
      <c r="AG25" s="238"/>
      <c r="AH25" s="239"/>
      <c r="AI25" s="240"/>
      <c r="AJ25" s="238"/>
      <c r="AK25" s="239"/>
      <c r="AL25" s="240"/>
      <c r="AM25" s="238"/>
      <c r="AO25" s="169"/>
      <c r="AP25" s="171"/>
      <c r="AR25" s="243"/>
    </row>
    <row r="26" spans="1:44" ht="25.5" hidden="1" customHeight="1">
      <c r="B26" s="234"/>
      <c r="C26" s="126" t="s">
        <v>66</v>
      </c>
      <c r="D26" s="231">
        <f t="shared" si="15"/>
        <v>0</v>
      </c>
      <c r="E26" s="232">
        <f t="shared" si="16"/>
        <v>0</v>
      </c>
      <c r="F26" s="231">
        <f t="shared" si="17"/>
        <v>0</v>
      </c>
      <c r="G26" s="236"/>
      <c r="H26" s="236"/>
      <c r="I26" s="236"/>
      <c r="J26" s="236"/>
      <c r="K26" s="236"/>
      <c r="L26" s="236"/>
      <c r="M26" s="236"/>
      <c r="N26" s="236"/>
      <c r="O26" s="238"/>
      <c r="P26" s="235"/>
      <c r="Q26" s="239"/>
      <c r="R26" s="236"/>
      <c r="S26" s="236"/>
      <c r="T26" s="236"/>
      <c r="U26" s="236"/>
      <c r="V26" s="236"/>
      <c r="W26" s="236"/>
      <c r="X26" s="236"/>
      <c r="Y26" s="236"/>
      <c r="Z26" s="236"/>
      <c r="AA26" s="236"/>
      <c r="AB26" s="236"/>
      <c r="AC26" s="237"/>
      <c r="AD26" s="238"/>
      <c r="AE26" s="235"/>
      <c r="AF26" s="240"/>
      <c r="AG26" s="238"/>
      <c r="AH26" s="239"/>
      <c r="AI26" s="240"/>
      <c r="AJ26" s="238"/>
      <c r="AK26" s="239"/>
      <c r="AL26" s="240"/>
      <c r="AM26" s="238"/>
      <c r="AO26" s="169" t="s">
        <v>42</v>
      </c>
      <c r="AP26" s="171" t="str">
        <f t="shared" si="0"/>
        <v>Yes</v>
      </c>
    </row>
    <row r="27" spans="1:44" ht="25.5" hidden="1" customHeight="1">
      <c r="B27" s="234"/>
      <c r="C27" s="126" t="s">
        <v>66</v>
      </c>
      <c r="D27" s="231">
        <f t="shared" si="15"/>
        <v>0</v>
      </c>
      <c r="E27" s="232">
        <f t="shared" si="16"/>
        <v>0</v>
      </c>
      <c r="F27" s="231">
        <f t="shared" si="17"/>
        <v>0</v>
      </c>
      <c r="G27" s="236"/>
      <c r="H27" s="236"/>
      <c r="I27" s="236"/>
      <c r="J27" s="236"/>
      <c r="K27" s="236"/>
      <c r="L27" s="236"/>
      <c r="M27" s="236"/>
      <c r="N27" s="236"/>
      <c r="O27" s="238"/>
      <c r="P27" s="235"/>
      <c r="Q27" s="239"/>
      <c r="R27" s="236"/>
      <c r="S27" s="236"/>
      <c r="T27" s="236"/>
      <c r="U27" s="236"/>
      <c r="V27" s="236"/>
      <c r="W27" s="236"/>
      <c r="X27" s="236"/>
      <c r="Y27" s="236"/>
      <c r="Z27" s="236"/>
      <c r="AA27" s="236"/>
      <c r="AB27" s="236"/>
      <c r="AC27" s="237"/>
      <c r="AD27" s="238"/>
      <c r="AE27" s="235"/>
      <c r="AF27" s="240"/>
      <c r="AG27" s="238"/>
      <c r="AH27" s="239"/>
      <c r="AI27" s="240"/>
      <c r="AJ27" s="238"/>
      <c r="AK27" s="239"/>
      <c r="AL27" s="240"/>
      <c r="AM27" s="238"/>
      <c r="AO27" s="169" t="s">
        <v>42</v>
      </c>
      <c r="AP27" s="171" t="str">
        <f t="shared" si="0"/>
        <v>Yes</v>
      </c>
    </row>
    <row r="28" spans="1:44" ht="25.5" hidden="1" customHeight="1">
      <c r="B28" s="234"/>
      <c r="C28" s="126" t="s">
        <v>66</v>
      </c>
      <c r="D28" s="231">
        <f t="shared" si="15"/>
        <v>0</v>
      </c>
      <c r="E28" s="232">
        <f t="shared" si="16"/>
        <v>0</v>
      </c>
      <c r="F28" s="231">
        <f t="shared" si="17"/>
        <v>0</v>
      </c>
      <c r="G28" s="236"/>
      <c r="H28" s="236"/>
      <c r="I28" s="236"/>
      <c r="J28" s="236"/>
      <c r="K28" s="236"/>
      <c r="L28" s="236"/>
      <c r="M28" s="236"/>
      <c r="N28" s="236"/>
      <c r="O28" s="238"/>
      <c r="P28" s="235"/>
      <c r="Q28" s="239"/>
      <c r="R28" s="236"/>
      <c r="S28" s="236"/>
      <c r="T28" s="236"/>
      <c r="U28" s="236"/>
      <c r="V28" s="236"/>
      <c r="W28" s="236"/>
      <c r="X28" s="236"/>
      <c r="Y28" s="236"/>
      <c r="Z28" s="236"/>
      <c r="AA28" s="236"/>
      <c r="AB28" s="236"/>
      <c r="AC28" s="237"/>
      <c r="AD28" s="238"/>
      <c r="AE28" s="235"/>
      <c r="AF28" s="240"/>
      <c r="AG28" s="238"/>
      <c r="AH28" s="239"/>
      <c r="AI28" s="240"/>
      <c r="AJ28" s="238"/>
      <c r="AK28" s="239"/>
      <c r="AL28" s="240"/>
      <c r="AM28" s="238"/>
      <c r="AO28" s="169" t="s">
        <v>42</v>
      </c>
      <c r="AP28" s="171" t="str">
        <f t="shared" si="0"/>
        <v>Yes</v>
      </c>
    </row>
    <row r="29" spans="1:44" ht="25.5" customHeight="1">
      <c r="B29" s="241"/>
      <c r="C29" s="242" t="s">
        <v>67</v>
      </c>
      <c r="D29" s="225">
        <f t="shared" ref="D29:AM29" si="18">SUM(D30:D99)</f>
        <v>0</v>
      </c>
      <c r="E29" s="226">
        <f t="shared" ref="E29:F29" si="19">SUM(E30:E99)</f>
        <v>13558.75</v>
      </c>
      <c r="F29" s="225">
        <f t="shared" si="19"/>
        <v>102225.59000000001</v>
      </c>
      <c r="G29" s="225">
        <f t="shared" si="18"/>
        <v>0</v>
      </c>
      <c r="H29" s="225">
        <f t="shared" ref="H29" si="20">SUM(H30:H99)</f>
        <v>10193.75</v>
      </c>
      <c r="I29" s="225">
        <f t="shared" si="18"/>
        <v>0</v>
      </c>
      <c r="J29" s="225">
        <f t="shared" si="18"/>
        <v>0</v>
      </c>
      <c r="K29" s="225">
        <f t="shared" si="18"/>
        <v>817</v>
      </c>
      <c r="L29" s="225">
        <f t="shared" si="18"/>
        <v>0</v>
      </c>
      <c r="M29" s="225">
        <f t="shared" si="18"/>
        <v>0</v>
      </c>
      <c r="N29" s="225">
        <f t="shared" si="18"/>
        <v>0</v>
      </c>
      <c r="O29" s="228">
        <f t="shared" si="18"/>
        <v>18220.97</v>
      </c>
      <c r="P29" s="227">
        <f t="shared" si="18"/>
        <v>0</v>
      </c>
      <c r="Q29" s="229">
        <f t="shared" si="18"/>
        <v>0</v>
      </c>
      <c r="R29" s="225">
        <f t="shared" si="18"/>
        <v>0</v>
      </c>
      <c r="S29" s="225">
        <f t="shared" ref="S29:U29" si="21">SUM(S30:S99)</f>
        <v>0</v>
      </c>
      <c r="T29" s="225">
        <f t="shared" si="21"/>
        <v>0</v>
      </c>
      <c r="U29" s="225">
        <f t="shared" si="21"/>
        <v>0</v>
      </c>
      <c r="V29" s="225">
        <f t="shared" si="18"/>
        <v>0</v>
      </c>
      <c r="W29" s="225">
        <f t="shared" si="18"/>
        <v>0</v>
      </c>
      <c r="X29" s="225">
        <f t="shared" si="18"/>
        <v>44103.48</v>
      </c>
      <c r="Y29" s="225">
        <f t="shared" si="18"/>
        <v>0</v>
      </c>
      <c r="Z29" s="225">
        <f t="shared" si="18"/>
        <v>0</v>
      </c>
      <c r="AA29" s="225">
        <f t="shared" si="18"/>
        <v>5845</v>
      </c>
      <c r="AB29" s="225">
        <f t="shared" si="18"/>
        <v>0</v>
      </c>
      <c r="AC29" s="226">
        <f t="shared" si="18"/>
        <v>0</v>
      </c>
      <c r="AD29" s="228">
        <f t="shared" si="18"/>
        <v>34056.14</v>
      </c>
      <c r="AE29" s="227">
        <f t="shared" si="18"/>
        <v>0</v>
      </c>
      <c r="AF29" s="230">
        <f t="shared" si="18"/>
        <v>0</v>
      </c>
      <c r="AG29" s="228">
        <f t="shared" si="18"/>
        <v>0</v>
      </c>
      <c r="AH29" s="229">
        <f t="shared" si="18"/>
        <v>0</v>
      </c>
      <c r="AI29" s="230">
        <f t="shared" si="18"/>
        <v>0</v>
      </c>
      <c r="AJ29" s="228">
        <f t="shared" si="18"/>
        <v>0</v>
      </c>
      <c r="AK29" s="229">
        <f t="shared" si="18"/>
        <v>0</v>
      </c>
      <c r="AL29" s="230">
        <f t="shared" si="18"/>
        <v>2548</v>
      </c>
      <c r="AM29" s="228">
        <f t="shared" si="18"/>
        <v>0</v>
      </c>
      <c r="AO29" s="169" t="s">
        <v>42</v>
      </c>
      <c r="AP29" s="171" t="str">
        <f t="shared" si="0"/>
        <v>Yes</v>
      </c>
    </row>
    <row r="30" spans="1:44" ht="25.5" customHeight="1">
      <c r="A30" s="210">
        <v>1</v>
      </c>
      <c r="B30" s="244" t="str">
        <f>IF(ISNA(VLOOKUP(A30,'2. หน้างบรายจ่าย'!$A:$K,4,0)),"",TEXT(VLOOKUP(A30,'2. หน้างบรายจ่าย'!$A:$K,4,0),"dd ดดด yy"))</f>
        <v>24 ก.พ. 69</v>
      </c>
      <c r="C30" s="245" t="str">
        <f>IF(ISNA(VLOOKUP(A30,'2. หน้างบรายจ่าย'!$A:$K,8,0)),"",VLOOKUP(A30,'2. หน้างบรายจ่าย'!$A:$K,8,0))</f>
        <v xml:space="preserve">เงิน พ.ข.ต. ผอ. สคต. </v>
      </c>
      <c r="D30" s="231">
        <f t="shared" ref="D30:D99" si="22">G30+J30+M30+P30+S30+Y30+AB30+AE30+AH30+AK30+V30</f>
        <v>0</v>
      </c>
      <c r="E30" s="232">
        <f t="shared" ref="E30:E99" si="23">H30+K30+N30+Q30+T30+Z30+AC30+AF30+AI30+AL30+W30</f>
        <v>4490</v>
      </c>
      <c r="F30" s="231">
        <f t="shared" ref="F30:F99" si="24">I30+L30+O30+R30+U30+AA30+AD30+AG30+AJ30+AM30+X30</f>
        <v>0</v>
      </c>
      <c r="G30" s="247">
        <f>IF($C30="",0,IF(ISNA(VLOOKUP($A30&amp;"_"&amp;G$4,'2. หน้างบรายจ่าย'!$C:$K,7,0)),0,VLOOKUP($A30&amp;"_"&amp;G$4,'2. หน้างบรายจ่าย'!$C:$K,7,0)))</f>
        <v>0</v>
      </c>
      <c r="H30" s="247">
        <f>IF($C30="",0,IF(ISNA(VLOOKUP($A30&amp;"_"&amp;H$4,'2. หน้างบรายจ่าย'!$C:$K,8,0)),0,VLOOKUP($A30&amp;"_"&amp;H$4,'2. หน้างบรายจ่าย'!$C:$K,8,0)))</f>
        <v>4490</v>
      </c>
      <c r="I30" s="247">
        <f>IF($C30="",0,IF(ISNA(VLOOKUP($A30&amp;"_"&amp;I$4,'2. หน้างบรายจ่าย'!$C:$K,9,0)),0,VLOOKUP($A30&amp;"_"&amp;I$4,'2. หน้างบรายจ่าย'!$C:$K,9,0)))</f>
        <v>0</v>
      </c>
      <c r="J30" s="247">
        <f>IF($C30="",0,IF(ISNA(VLOOKUP($A30&amp;"_"&amp;J$4,'2. หน้างบรายจ่าย'!$C:$K,7,0)),0,VLOOKUP($A30&amp;"_"&amp;J$4,'2. หน้างบรายจ่าย'!$C:$K,7,0)))</f>
        <v>0</v>
      </c>
      <c r="K30" s="247">
        <f>IF($C30="",0,IF(ISNA(VLOOKUP($A30&amp;"_"&amp;K$4,'2. หน้างบรายจ่าย'!$C:$K,8,0)),0,VLOOKUP($A30&amp;"_"&amp;K$4,'2. หน้างบรายจ่าย'!$C:$K,8,0)))</f>
        <v>0</v>
      </c>
      <c r="L30" s="247">
        <f>IF($C30="",0,IF(ISNA(VLOOKUP($A30&amp;"_"&amp;L$4,'2. หน้างบรายจ่าย'!$C:$K,9,0)),0,VLOOKUP($A30&amp;"_"&amp;L$4,'2. หน้างบรายจ่าย'!$C:$K,9,0)))</f>
        <v>0</v>
      </c>
      <c r="M30" s="247">
        <f>IF($C30="",0,IF(ISNA(VLOOKUP($A30&amp;"_"&amp;M$4,'2. หน้างบรายจ่าย'!$C:$K,7,0)),0,VLOOKUP($A30&amp;"_"&amp;M$4,'2. หน้างบรายจ่าย'!$C:$K,7,0)))</f>
        <v>0</v>
      </c>
      <c r="N30" s="247">
        <f>IF($C30="",0,IF(ISNA(VLOOKUP($A30&amp;"_"&amp;N$4,'2. หน้างบรายจ่าย'!$C:$K,8,0)),0,VLOOKUP($A30&amp;"_"&amp;N$4,'2. หน้างบรายจ่าย'!$C:$K,8,0)))</f>
        <v>0</v>
      </c>
      <c r="O30" s="248">
        <f>IF($C30="",0,IF(ISNA(VLOOKUP($A30&amp;"_"&amp;O$4,'2. หน้างบรายจ่าย'!$C:$K,9,0)),0,VLOOKUP($A30&amp;"_"&amp;O$4,'2. หน้างบรายจ่าย'!$C:$K,9,0)))</f>
        <v>0</v>
      </c>
      <c r="P30" s="246">
        <f>IF($C30="",0,IF(ISNA(VLOOKUP($A30&amp;"_"&amp;P$4,'2. หน้างบรายจ่าย'!$C:$K,7,0)),0,VLOOKUP($A30&amp;"_"&amp;P$4,'2. หน้างบรายจ่าย'!$C:$K,7,0)))</f>
        <v>0</v>
      </c>
      <c r="Q30" s="249">
        <f>IF($C30="",0,IF(ISNA(VLOOKUP($A30&amp;"_"&amp;Q$4,'2. หน้างบรายจ่าย'!$C:$K,8,0)),0,VLOOKUP($A30&amp;"_"&amp;Q$4,'2. หน้างบรายจ่าย'!$C:$K,8,0)))</f>
        <v>0</v>
      </c>
      <c r="R30" s="247">
        <f>IF($C30="",0,IF(ISNA(VLOOKUP($A30&amp;"_"&amp;R$4,'2. หน้างบรายจ่าย'!$C:$K,9,0)),0,VLOOKUP($A30&amp;"_"&amp;R$4,'2. หน้างบรายจ่าย'!$C:$K,9,0)))</f>
        <v>0</v>
      </c>
      <c r="S30" s="247">
        <f>IF($C30="",0,IF(ISNA(VLOOKUP($A30&amp;"_"&amp;S$4,'2. หน้างบรายจ่าย'!$C:$K,7,0)),0,VLOOKUP($A30&amp;"_"&amp;S$4,'2. หน้างบรายจ่าย'!$C:$K,7,0)))</f>
        <v>0</v>
      </c>
      <c r="T30" s="247">
        <f>IF($C30="",0,IF(ISNA(VLOOKUP($A30&amp;"_"&amp;T$4,'2. หน้างบรายจ่าย'!$C:$K,8,0)),0,VLOOKUP($A30&amp;"_"&amp;T$4,'2. หน้างบรายจ่าย'!$C:$K,8,0)))</f>
        <v>0</v>
      </c>
      <c r="U30" s="247">
        <f>IF($C30="",0,IF(ISNA(VLOOKUP($A30&amp;"_"&amp;U$4,'2. หน้างบรายจ่าย'!$C:$K,9,0)),0,VLOOKUP($A30&amp;"_"&amp;U$4,'2. หน้างบรายจ่าย'!$C:$K,9,0)))</f>
        <v>0</v>
      </c>
      <c r="V30" s="247">
        <f>IF($C30="",0,IF(ISNA(VLOOKUP($A30&amp;"_"&amp;V$4,'2. หน้างบรายจ่าย'!$C:$K,7,0)),0,VLOOKUP($A30&amp;"_"&amp;V$4,'2. หน้างบรายจ่าย'!$C:$K,7,0)))</f>
        <v>0</v>
      </c>
      <c r="W30" s="247">
        <f>IF($C30="",0,IF(ISNA(VLOOKUP($A30&amp;"_"&amp;W$4,'2. หน้างบรายจ่าย'!$C:$K,8,0)),0,VLOOKUP($A30&amp;"_"&amp;W$4,'2. หน้างบรายจ่าย'!$C:$K,8,0)))</f>
        <v>0</v>
      </c>
      <c r="X30" s="247">
        <f>IF($C30="",0,IF(ISNA(VLOOKUP($A30&amp;"_"&amp;X$4,'2. หน้างบรายจ่าย'!$C:$K,9,0)),0,VLOOKUP($A30&amp;"_"&amp;X$4,'2. หน้างบรายจ่าย'!$C:$K,9,0)))</f>
        <v>0</v>
      </c>
      <c r="Y30" s="247">
        <f>IF($C30="",0,IF(ISNA(VLOOKUP($A30&amp;"_"&amp;Y$4,'2. หน้างบรายจ่าย'!$C:$K,7,0)),0,VLOOKUP($A30&amp;"_"&amp;Y$4,'2. หน้างบรายจ่าย'!$C:$K,7,0)))</f>
        <v>0</v>
      </c>
      <c r="Z30" s="247">
        <f>IF($C30="",0,IF(ISNA(VLOOKUP($A30&amp;"_"&amp;Z$4,'2. หน้างบรายจ่าย'!$C:$K,8,0)),0,VLOOKUP($A30&amp;"_"&amp;Z$4,'2. หน้างบรายจ่าย'!$C:$K,8,0)))</f>
        <v>0</v>
      </c>
      <c r="AA30" s="247">
        <f>IF($C30="",0,IF(ISNA(VLOOKUP($A30&amp;"_"&amp;AA$4,'2. หน้างบรายจ่าย'!$C:$K,9,0)),0,VLOOKUP($A30&amp;"_"&amp;AA$4,'2. หน้างบรายจ่าย'!$C:$K,9,0)))</f>
        <v>0</v>
      </c>
      <c r="AB30" s="247">
        <f>IF($C30="",0,IF(ISNA(VLOOKUP($A30&amp;"_"&amp;AB$4,'2. หน้างบรายจ่าย'!$C:$K,7,0)),0,VLOOKUP($A30&amp;"_"&amp;AB$4,'2. หน้างบรายจ่าย'!$C:$K,7,0)))</f>
        <v>0</v>
      </c>
      <c r="AC30" s="251">
        <f>IF($C30="",0,IF(ISNA(VLOOKUP($A30&amp;"_"&amp;AC$4,'2. หน้างบรายจ่าย'!$C:$K,8,0)),0,VLOOKUP($A30&amp;"_"&amp;AC$4,'2. หน้างบรายจ่าย'!$C:$K,8,0)))</f>
        <v>0</v>
      </c>
      <c r="AD30" s="248">
        <f>IF($C30="",0,IF(ISNA(VLOOKUP($A30&amp;"_"&amp;AD$4,'2. หน้างบรายจ่าย'!$C:$K,9,0)),0,VLOOKUP($A30&amp;"_"&amp;AD$4,'2. หน้างบรายจ่าย'!$C:$K,9,0)))</f>
        <v>0</v>
      </c>
      <c r="AE30" s="246">
        <f>IF($C30="",0,IF(ISNA(VLOOKUP($A30&amp;"_"&amp;AE$4,'2. หน้างบรายจ่าย'!$C:$K,7,0)),0,VLOOKUP($A30&amp;"_"&amp;AE$4,'2. หน้างบรายจ่าย'!$C:$K,7,0)))</f>
        <v>0</v>
      </c>
      <c r="AF30" s="250">
        <f>IF($C30="",0,IF(ISNA(VLOOKUP($A30&amp;"_"&amp;AF$4,'2. หน้างบรายจ่าย'!$C:$K,8,0)),0,VLOOKUP($A30&amp;"_"&amp;AF$4,'2. หน้างบรายจ่าย'!$C:$K,8,0)))</f>
        <v>0</v>
      </c>
      <c r="AG30" s="248">
        <f>IF($C30="",0,IF(ISNA(VLOOKUP($A30&amp;"_"&amp;AG$4,'2. หน้างบรายจ่าย'!$C:$K,9,0)),0,VLOOKUP($A30&amp;"_"&amp;AG$4,'2. หน้างบรายจ่าย'!$C:$K,9,0)))</f>
        <v>0</v>
      </c>
      <c r="AH30" s="249">
        <f>IF($C30="",0,IF(ISNA(VLOOKUP($A30&amp;"_"&amp;AH$4,'2. หน้างบรายจ่าย'!$C:$K,7,0)),0,VLOOKUP($A30&amp;"_"&amp;AH$4,'2. หน้างบรายจ่าย'!$C:$K,7,0)))</f>
        <v>0</v>
      </c>
      <c r="AI30" s="250">
        <f>IF($C30="",0,IF(ISNA(VLOOKUP($A30&amp;"_"&amp;AI$4,'2. หน้างบรายจ่าย'!$C:$K,8,0)),0,VLOOKUP($A30&amp;"_"&amp;AI$4,'2. หน้างบรายจ่าย'!$C:$K,8,0)))</f>
        <v>0</v>
      </c>
      <c r="AJ30" s="248">
        <f>IF($C30="",0,IF(ISNA(VLOOKUP($A30&amp;"_"&amp;AJ$4,'2. หน้างบรายจ่าย'!$C:$K,9,0)),0,VLOOKUP($A30&amp;"_"&amp;AJ$4,'2. หน้างบรายจ่าย'!$C:$K,9,0)))</f>
        <v>0</v>
      </c>
      <c r="AK30" s="249">
        <f>IF($C30="",0,IF(ISNA(VLOOKUP($A30&amp;"_"&amp;AK$4,'2. หน้างบรายจ่าย'!$C:$K,7,0)),0,VLOOKUP($A30&amp;"_"&amp;AK$4,'2. หน้างบรายจ่าย'!$C:$K,7,0)))</f>
        <v>0</v>
      </c>
      <c r="AL30" s="250">
        <f>IF($C30="",0,IF(ISNA(VLOOKUP($A30&amp;"_"&amp;AL$4,'2. หน้างบรายจ่าย'!$C:$K,8,0)),0,VLOOKUP($A30&amp;"_"&amp;AL$4,'2. หน้างบรายจ่าย'!$C:$K,8,0)))</f>
        <v>0</v>
      </c>
      <c r="AM30" s="248">
        <f>IF($C30="",0,IF(ISNA(VLOOKUP($A30&amp;"_"&amp;AM$4,'2. หน้างบรายจ่าย'!$C:$K,9,0)),0,VLOOKUP($A30&amp;"_"&amp;AM$4,'2. หน้างบรายจ่าย'!$C:$K,9,0)))</f>
        <v>0</v>
      </c>
      <c r="AO30" s="169" t="s">
        <v>42</v>
      </c>
      <c r="AP30" s="171" t="str">
        <f t="shared" si="0"/>
        <v>Yes</v>
      </c>
    </row>
    <row r="31" spans="1:44" ht="25.5" customHeight="1">
      <c r="A31" s="210">
        <v>2</v>
      </c>
      <c r="B31" s="244" t="str">
        <f>IF(ISNA(VLOOKUP(A31,'2. หน้างบรายจ่าย'!$A:$K,4,0)),"",TEXT(VLOOKUP(A31,'2. หน้างบรายจ่าย'!$A:$K,4,0),"dd ดดด yy"))</f>
        <v>24 ก.พ. 69</v>
      </c>
      <c r="C31" s="245" t="str">
        <f>IF(ISNA(VLOOKUP(A31,'2. หน้างบรายจ่าย'!$A:$K,8,0)),"",VLOOKUP(A31,'2. หน้างบรายจ่าย'!$A:$K,8,0))</f>
        <v xml:space="preserve">เงิน พ.ข.ต. ผช. ผอ. สคต. </v>
      </c>
      <c r="D31" s="231">
        <f t="shared" si="22"/>
        <v>0</v>
      </c>
      <c r="E31" s="232">
        <f t="shared" si="23"/>
        <v>4225</v>
      </c>
      <c r="F31" s="231">
        <f t="shared" si="24"/>
        <v>0</v>
      </c>
      <c r="G31" s="247">
        <f>IF($C31="",0,IF(ISNA(VLOOKUP($A31&amp;"_"&amp;G$4,'2. หน้างบรายจ่าย'!$C:$K,7,0)),0,VLOOKUP($A31&amp;"_"&amp;G$4,'2. หน้างบรายจ่าย'!$C:$K,7,0)))</f>
        <v>0</v>
      </c>
      <c r="H31" s="247">
        <f>IF($C31="",0,IF(ISNA(VLOOKUP($A31&amp;"_"&amp;H$4,'2. หน้างบรายจ่าย'!$C:$K,8,0)),0,VLOOKUP($A31&amp;"_"&amp;H$4,'2. หน้างบรายจ่าย'!$C:$K,8,0)))</f>
        <v>4225</v>
      </c>
      <c r="I31" s="247">
        <f>IF($C31="",0,IF(ISNA(VLOOKUP($A31&amp;"_"&amp;I$4,'2. หน้างบรายจ่าย'!$C:$K,9,0)),0,VLOOKUP($A31&amp;"_"&amp;I$4,'2. หน้างบรายจ่าย'!$C:$K,9,0)))</f>
        <v>0</v>
      </c>
      <c r="J31" s="247">
        <f>IF($C31="",0,IF(ISNA(VLOOKUP($A31&amp;"_"&amp;J$4,'2. หน้างบรายจ่าย'!$C:$K,7,0)),0,VLOOKUP($A31&amp;"_"&amp;J$4,'2. หน้างบรายจ่าย'!$C:$K,7,0)))</f>
        <v>0</v>
      </c>
      <c r="K31" s="247">
        <f>IF($C31="",0,IF(ISNA(VLOOKUP($A31&amp;"_"&amp;K$4,'2. หน้างบรายจ่าย'!$C:$K,8,0)),0,VLOOKUP($A31&amp;"_"&amp;K$4,'2. หน้างบรายจ่าย'!$C:$K,8,0)))</f>
        <v>0</v>
      </c>
      <c r="L31" s="247">
        <f>IF($C31="",0,IF(ISNA(VLOOKUP($A31&amp;"_"&amp;L$4,'2. หน้างบรายจ่าย'!$C:$K,9,0)),0,VLOOKUP($A31&amp;"_"&amp;L$4,'2. หน้างบรายจ่าย'!$C:$K,9,0)))</f>
        <v>0</v>
      </c>
      <c r="M31" s="247">
        <f>IF($C31="",0,IF(ISNA(VLOOKUP($A31&amp;"_"&amp;M$4,'2. หน้างบรายจ่าย'!$C:$K,7,0)),0,VLOOKUP($A31&amp;"_"&amp;M$4,'2. หน้างบรายจ่าย'!$C:$K,7,0)))</f>
        <v>0</v>
      </c>
      <c r="N31" s="247">
        <f>IF($C31="",0,IF(ISNA(VLOOKUP($A31&amp;"_"&amp;N$4,'2. หน้างบรายจ่าย'!$C:$K,8,0)),0,VLOOKUP($A31&amp;"_"&amp;N$4,'2. หน้างบรายจ่าย'!$C:$K,8,0)))</f>
        <v>0</v>
      </c>
      <c r="O31" s="248">
        <f>IF($C31="",0,IF(ISNA(VLOOKUP($A31&amp;"_"&amp;O$4,'2. หน้างบรายจ่าย'!$C:$K,9,0)),0,VLOOKUP($A31&amp;"_"&amp;O$4,'2. หน้างบรายจ่าย'!$C:$K,9,0)))</f>
        <v>0</v>
      </c>
      <c r="P31" s="246">
        <f>IF($C31="",0,IF(ISNA(VLOOKUP($A31&amp;"_"&amp;P$4,'2. หน้างบรายจ่าย'!$C:$K,7,0)),0,VLOOKUP($A31&amp;"_"&amp;P$4,'2. หน้างบรายจ่าย'!$C:$K,7,0)))</f>
        <v>0</v>
      </c>
      <c r="Q31" s="249">
        <f>IF($C31="",0,IF(ISNA(VLOOKUP($A31&amp;"_"&amp;Q$4,'2. หน้างบรายจ่าย'!$C:$K,8,0)),0,VLOOKUP($A31&amp;"_"&amp;Q$4,'2. หน้างบรายจ่าย'!$C:$K,8,0)))</f>
        <v>0</v>
      </c>
      <c r="R31" s="247">
        <f>IF($C31="",0,IF(ISNA(VLOOKUP($A31&amp;"_"&amp;R$4,'2. หน้างบรายจ่าย'!$C:$K,9,0)),0,VLOOKUP($A31&amp;"_"&amp;R$4,'2. หน้างบรายจ่าย'!$C:$K,9,0)))</f>
        <v>0</v>
      </c>
      <c r="S31" s="247">
        <f>IF($C31="",0,IF(ISNA(VLOOKUP($A31&amp;"_"&amp;S$4,'2. หน้างบรายจ่าย'!$C:$K,7,0)),0,VLOOKUP($A31&amp;"_"&amp;S$4,'2. หน้างบรายจ่าย'!$C:$K,7,0)))</f>
        <v>0</v>
      </c>
      <c r="T31" s="247">
        <f>IF($C31="",0,IF(ISNA(VLOOKUP($A31&amp;"_"&amp;T$4,'2. หน้างบรายจ่าย'!$C:$K,8,0)),0,VLOOKUP($A31&amp;"_"&amp;T$4,'2. หน้างบรายจ่าย'!$C:$K,8,0)))</f>
        <v>0</v>
      </c>
      <c r="U31" s="247">
        <f>IF($C31="",0,IF(ISNA(VLOOKUP($A31&amp;"_"&amp;U$4,'2. หน้างบรายจ่าย'!$C:$K,9,0)),0,VLOOKUP($A31&amp;"_"&amp;U$4,'2. หน้างบรายจ่าย'!$C:$K,9,0)))</f>
        <v>0</v>
      </c>
      <c r="V31" s="247">
        <f>IF($C31="",0,IF(ISNA(VLOOKUP($A31&amp;"_"&amp;V$4,'2. หน้างบรายจ่าย'!$C:$K,7,0)),0,VLOOKUP($A31&amp;"_"&amp;V$4,'2. หน้างบรายจ่าย'!$C:$K,7,0)))</f>
        <v>0</v>
      </c>
      <c r="W31" s="247">
        <f>IF($C31="",0,IF(ISNA(VLOOKUP($A31&amp;"_"&amp;W$4,'2. หน้างบรายจ่าย'!$C:$K,8,0)),0,VLOOKUP($A31&amp;"_"&amp;W$4,'2. หน้างบรายจ่าย'!$C:$K,8,0)))</f>
        <v>0</v>
      </c>
      <c r="X31" s="247">
        <f>IF($C31="",0,IF(ISNA(VLOOKUP($A31&amp;"_"&amp;X$4,'2. หน้างบรายจ่าย'!$C:$K,9,0)),0,VLOOKUP($A31&amp;"_"&amp;X$4,'2. หน้างบรายจ่าย'!$C:$K,9,0)))</f>
        <v>0</v>
      </c>
      <c r="Y31" s="247">
        <f>IF($C31="",0,IF(ISNA(VLOOKUP($A31&amp;"_"&amp;Y$4,'2. หน้างบรายจ่าย'!$C:$K,7,0)),0,VLOOKUP($A31&amp;"_"&amp;Y$4,'2. หน้างบรายจ่าย'!$C:$K,7,0)))</f>
        <v>0</v>
      </c>
      <c r="Z31" s="247">
        <f>IF($C31="",0,IF(ISNA(VLOOKUP($A31&amp;"_"&amp;Z$4,'2. หน้างบรายจ่าย'!$C:$K,8,0)),0,VLOOKUP($A31&amp;"_"&amp;Z$4,'2. หน้างบรายจ่าย'!$C:$K,8,0)))</f>
        <v>0</v>
      </c>
      <c r="AA31" s="247">
        <f>IF($C31="",0,IF(ISNA(VLOOKUP($A31&amp;"_"&amp;AA$4,'2. หน้างบรายจ่าย'!$C:$K,9,0)),0,VLOOKUP($A31&amp;"_"&amp;AA$4,'2. หน้างบรายจ่าย'!$C:$K,9,0)))</f>
        <v>0</v>
      </c>
      <c r="AB31" s="247">
        <f>IF($C31="",0,IF(ISNA(VLOOKUP($A31&amp;"_"&amp;AB$4,'2. หน้างบรายจ่าย'!$C:$K,7,0)),0,VLOOKUP($A31&amp;"_"&amp;AB$4,'2. หน้างบรายจ่าย'!$C:$K,7,0)))</f>
        <v>0</v>
      </c>
      <c r="AC31" s="251">
        <f>IF($C31="",0,IF(ISNA(VLOOKUP($A31&amp;"_"&amp;AC$4,'2. หน้างบรายจ่าย'!$C:$K,8,0)),0,VLOOKUP($A31&amp;"_"&amp;AC$4,'2. หน้างบรายจ่าย'!$C:$K,8,0)))</f>
        <v>0</v>
      </c>
      <c r="AD31" s="248">
        <f>IF($C31="",0,IF(ISNA(VLOOKUP($A31&amp;"_"&amp;AD$4,'2. หน้างบรายจ่าย'!$C:$K,9,0)),0,VLOOKUP($A31&amp;"_"&amp;AD$4,'2. หน้างบรายจ่าย'!$C:$K,9,0)))</f>
        <v>0</v>
      </c>
      <c r="AE31" s="246">
        <f>IF($C31="",0,IF(ISNA(VLOOKUP($A31&amp;"_"&amp;AE$4,'2. หน้างบรายจ่าย'!$C:$K,7,0)),0,VLOOKUP($A31&amp;"_"&amp;AE$4,'2. หน้างบรายจ่าย'!$C:$K,7,0)))</f>
        <v>0</v>
      </c>
      <c r="AF31" s="250">
        <f>IF($C31="",0,IF(ISNA(VLOOKUP($A31&amp;"_"&amp;AF$4,'2. หน้างบรายจ่าย'!$C:$K,8,0)),0,VLOOKUP($A31&amp;"_"&amp;AF$4,'2. หน้างบรายจ่าย'!$C:$K,8,0)))</f>
        <v>0</v>
      </c>
      <c r="AG31" s="248">
        <f>IF($C31="",0,IF(ISNA(VLOOKUP($A31&amp;"_"&amp;AG$4,'2. หน้างบรายจ่าย'!$C:$K,9,0)),0,VLOOKUP($A31&amp;"_"&amp;AG$4,'2. หน้างบรายจ่าย'!$C:$K,9,0)))</f>
        <v>0</v>
      </c>
      <c r="AH31" s="249">
        <f>IF($C31="",0,IF(ISNA(VLOOKUP($A31&amp;"_"&amp;AH$4,'2. หน้างบรายจ่าย'!$C:$K,7,0)),0,VLOOKUP($A31&amp;"_"&amp;AH$4,'2. หน้างบรายจ่าย'!$C:$K,7,0)))</f>
        <v>0</v>
      </c>
      <c r="AI31" s="250">
        <f>IF($C31="",0,IF(ISNA(VLOOKUP($A31&amp;"_"&amp;AI$4,'2. หน้างบรายจ่าย'!$C:$K,8,0)),0,VLOOKUP($A31&amp;"_"&amp;AI$4,'2. หน้างบรายจ่าย'!$C:$K,8,0)))</f>
        <v>0</v>
      </c>
      <c r="AJ31" s="248">
        <f>IF($C31="",0,IF(ISNA(VLOOKUP($A31&amp;"_"&amp;AJ$4,'2. หน้างบรายจ่าย'!$C:$K,9,0)),0,VLOOKUP($A31&amp;"_"&amp;AJ$4,'2. หน้างบรายจ่าย'!$C:$K,9,0)))</f>
        <v>0</v>
      </c>
      <c r="AK31" s="249">
        <f>IF($C31="",0,IF(ISNA(VLOOKUP($A31&amp;"_"&amp;AK$4,'2. หน้างบรายจ่าย'!$C:$K,7,0)),0,VLOOKUP($A31&amp;"_"&amp;AK$4,'2. หน้างบรายจ่าย'!$C:$K,7,0)))</f>
        <v>0</v>
      </c>
      <c r="AL31" s="250">
        <f>IF($C31="",0,IF(ISNA(VLOOKUP($A31&amp;"_"&amp;AL$4,'2. หน้างบรายจ่าย'!$C:$K,8,0)),0,VLOOKUP($A31&amp;"_"&amp;AL$4,'2. หน้างบรายจ่าย'!$C:$K,8,0)))</f>
        <v>0</v>
      </c>
      <c r="AM31" s="248">
        <f>IF($C31="",0,IF(ISNA(VLOOKUP($A31&amp;"_"&amp;AM$4,'2. หน้างบรายจ่าย'!$C:$K,9,0)),0,VLOOKUP($A31&amp;"_"&amp;AM$4,'2. หน้างบรายจ่าย'!$C:$K,9,0)))</f>
        <v>0</v>
      </c>
      <c r="AO31" s="169" t="s">
        <v>42</v>
      </c>
      <c r="AP31" s="171" t="str">
        <f t="shared" si="0"/>
        <v>Yes</v>
      </c>
    </row>
    <row r="32" spans="1:44" ht="25.5" customHeight="1">
      <c r="A32" s="210">
        <v>3</v>
      </c>
      <c r="B32" s="244" t="str">
        <f>IF(ISNA(VLOOKUP(A32,'2. หน้างบรายจ่าย'!$A:$K,4,0)),"",TEXT(VLOOKUP(A32,'2. หน้างบรายจ่าย'!$A:$K,4,0),"dd ดดด yy"))</f>
        <v>24 ก.พ. 69</v>
      </c>
      <c r="C32" s="245" t="str">
        <f>IF(ISNA(VLOOKUP(A32,'2. หน้างบรายจ่าย'!$A:$K,8,0)),"",VLOOKUP(A32,'2. หน้างบรายจ่าย'!$A:$K,8,0))</f>
        <v xml:space="preserve">เงิน พ.ข.ต. ส่วนเพิ่ม (สามี) ผช. ผอ. สคต. </v>
      </c>
      <c r="D32" s="231">
        <f t="shared" si="22"/>
        <v>0</v>
      </c>
      <c r="E32" s="232">
        <f t="shared" si="23"/>
        <v>1267.5</v>
      </c>
      <c r="F32" s="231">
        <f t="shared" si="24"/>
        <v>0</v>
      </c>
      <c r="G32" s="247">
        <f>IF($C32="",0,IF(ISNA(VLOOKUP($A32&amp;"_"&amp;G$4,'2. หน้างบรายจ่าย'!$C:$K,7,0)),0,VLOOKUP($A32&amp;"_"&amp;G$4,'2. หน้างบรายจ่าย'!$C:$K,7,0)))</f>
        <v>0</v>
      </c>
      <c r="H32" s="247">
        <f>IF($C32="",0,IF(ISNA(VLOOKUP($A32&amp;"_"&amp;H$4,'2. หน้างบรายจ่าย'!$C:$K,8,0)),0,VLOOKUP($A32&amp;"_"&amp;H$4,'2. หน้างบรายจ่าย'!$C:$K,8,0)))</f>
        <v>1267.5</v>
      </c>
      <c r="I32" s="247">
        <f>IF($C32="",0,IF(ISNA(VLOOKUP($A32&amp;"_"&amp;I$4,'2. หน้างบรายจ่าย'!$C:$K,9,0)),0,VLOOKUP($A32&amp;"_"&amp;I$4,'2. หน้างบรายจ่าย'!$C:$K,9,0)))</f>
        <v>0</v>
      </c>
      <c r="J32" s="247">
        <f>IF($C32="",0,IF(ISNA(VLOOKUP($A32&amp;"_"&amp;J$4,'2. หน้างบรายจ่าย'!$C:$K,7,0)),0,VLOOKUP($A32&amp;"_"&amp;J$4,'2. หน้างบรายจ่าย'!$C:$K,7,0)))</f>
        <v>0</v>
      </c>
      <c r="K32" s="247">
        <f>IF($C32="",0,IF(ISNA(VLOOKUP($A32&amp;"_"&amp;K$4,'2. หน้างบรายจ่าย'!$C:$K,8,0)),0,VLOOKUP($A32&amp;"_"&amp;K$4,'2. หน้างบรายจ่าย'!$C:$K,8,0)))</f>
        <v>0</v>
      </c>
      <c r="L32" s="247">
        <f>IF($C32="",0,IF(ISNA(VLOOKUP($A32&amp;"_"&amp;L$4,'2. หน้างบรายจ่าย'!$C:$K,9,0)),0,VLOOKUP($A32&amp;"_"&amp;L$4,'2. หน้างบรายจ่าย'!$C:$K,9,0)))</f>
        <v>0</v>
      </c>
      <c r="M32" s="247">
        <f>IF($C32="",0,IF(ISNA(VLOOKUP($A32&amp;"_"&amp;M$4,'2. หน้างบรายจ่าย'!$C:$K,7,0)),0,VLOOKUP($A32&amp;"_"&amp;M$4,'2. หน้างบรายจ่าย'!$C:$K,7,0)))</f>
        <v>0</v>
      </c>
      <c r="N32" s="247">
        <f>IF($C32="",0,IF(ISNA(VLOOKUP($A32&amp;"_"&amp;N$4,'2. หน้างบรายจ่าย'!$C:$K,8,0)),0,VLOOKUP($A32&amp;"_"&amp;N$4,'2. หน้างบรายจ่าย'!$C:$K,8,0)))</f>
        <v>0</v>
      </c>
      <c r="O32" s="248">
        <f>IF($C32="",0,IF(ISNA(VLOOKUP($A32&amp;"_"&amp;O$4,'2. หน้างบรายจ่าย'!$C:$K,9,0)),0,VLOOKUP($A32&amp;"_"&amp;O$4,'2. หน้างบรายจ่าย'!$C:$K,9,0)))</f>
        <v>0</v>
      </c>
      <c r="P32" s="246">
        <f>IF($C32="",0,IF(ISNA(VLOOKUP($A32&amp;"_"&amp;P$4,'2. หน้างบรายจ่าย'!$C:$K,7,0)),0,VLOOKUP($A32&amp;"_"&amp;P$4,'2. หน้างบรายจ่าย'!$C:$K,7,0)))</f>
        <v>0</v>
      </c>
      <c r="Q32" s="249">
        <f>IF($C32="",0,IF(ISNA(VLOOKUP($A32&amp;"_"&amp;Q$4,'2. หน้างบรายจ่าย'!$C:$K,8,0)),0,VLOOKUP($A32&amp;"_"&amp;Q$4,'2. หน้างบรายจ่าย'!$C:$K,8,0)))</f>
        <v>0</v>
      </c>
      <c r="R32" s="247">
        <f>IF($C32="",0,IF(ISNA(VLOOKUP($A32&amp;"_"&amp;R$4,'2. หน้างบรายจ่าย'!$C:$K,9,0)),0,VLOOKUP($A32&amp;"_"&amp;R$4,'2. หน้างบรายจ่าย'!$C:$K,9,0)))</f>
        <v>0</v>
      </c>
      <c r="S32" s="247">
        <f>IF($C32="",0,IF(ISNA(VLOOKUP($A32&amp;"_"&amp;S$4,'2. หน้างบรายจ่าย'!$C:$K,7,0)),0,VLOOKUP($A32&amp;"_"&amp;S$4,'2. หน้างบรายจ่าย'!$C:$K,7,0)))</f>
        <v>0</v>
      </c>
      <c r="T32" s="247">
        <f>IF($C32="",0,IF(ISNA(VLOOKUP($A32&amp;"_"&amp;T$4,'2. หน้างบรายจ่าย'!$C:$K,8,0)),0,VLOOKUP($A32&amp;"_"&amp;T$4,'2. หน้างบรายจ่าย'!$C:$K,8,0)))</f>
        <v>0</v>
      </c>
      <c r="U32" s="247">
        <f>IF($C32="",0,IF(ISNA(VLOOKUP($A32&amp;"_"&amp;U$4,'2. หน้างบรายจ่าย'!$C:$K,9,0)),0,VLOOKUP($A32&amp;"_"&amp;U$4,'2. หน้างบรายจ่าย'!$C:$K,9,0)))</f>
        <v>0</v>
      </c>
      <c r="V32" s="247">
        <f>IF($C32="",0,IF(ISNA(VLOOKUP($A32&amp;"_"&amp;V$4,'2. หน้างบรายจ่าย'!$C:$K,7,0)),0,VLOOKUP($A32&amp;"_"&amp;V$4,'2. หน้างบรายจ่าย'!$C:$K,7,0)))</f>
        <v>0</v>
      </c>
      <c r="W32" s="247">
        <f>IF($C32="",0,IF(ISNA(VLOOKUP($A32&amp;"_"&amp;W$4,'2. หน้างบรายจ่าย'!$C:$K,8,0)),0,VLOOKUP($A32&amp;"_"&amp;W$4,'2. หน้างบรายจ่าย'!$C:$K,8,0)))</f>
        <v>0</v>
      </c>
      <c r="X32" s="247">
        <f>IF($C32="",0,IF(ISNA(VLOOKUP($A32&amp;"_"&amp;X$4,'2. หน้างบรายจ่าย'!$C:$K,9,0)),0,VLOOKUP($A32&amp;"_"&amp;X$4,'2. หน้างบรายจ่าย'!$C:$K,9,0)))</f>
        <v>0</v>
      </c>
      <c r="Y32" s="247">
        <f>IF($C32="",0,IF(ISNA(VLOOKUP($A32&amp;"_"&amp;Y$4,'2. หน้างบรายจ่าย'!$C:$K,7,0)),0,VLOOKUP($A32&amp;"_"&amp;Y$4,'2. หน้างบรายจ่าย'!$C:$K,7,0)))</f>
        <v>0</v>
      </c>
      <c r="Z32" s="247">
        <f>IF($C32="",0,IF(ISNA(VLOOKUP($A32&amp;"_"&amp;Z$4,'2. หน้างบรายจ่าย'!$C:$K,8,0)),0,VLOOKUP($A32&amp;"_"&amp;Z$4,'2. หน้างบรายจ่าย'!$C:$K,8,0)))</f>
        <v>0</v>
      </c>
      <c r="AA32" s="247">
        <f>IF($C32="",0,IF(ISNA(VLOOKUP($A32&amp;"_"&amp;AA$4,'2. หน้างบรายจ่าย'!$C:$K,9,0)),0,VLOOKUP($A32&amp;"_"&amp;AA$4,'2. หน้างบรายจ่าย'!$C:$K,9,0)))</f>
        <v>0</v>
      </c>
      <c r="AB32" s="247">
        <f>IF($C32="",0,IF(ISNA(VLOOKUP($A32&amp;"_"&amp;AB$4,'2. หน้างบรายจ่าย'!$C:$K,7,0)),0,VLOOKUP($A32&amp;"_"&amp;AB$4,'2. หน้างบรายจ่าย'!$C:$K,7,0)))</f>
        <v>0</v>
      </c>
      <c r="AC32" s="251">
        <f>IF($C32="",0,IF(ISNA(VLOOKUP($A32&amp;"_"&amp;AC$4,'2. หน้างบรายจ่าย'!$C:$K,8,0)),0,VLOOKUP($A32&amp;"_"&amp;AC$4,'2. หน้างบรายจ่าย'!$C:$K,8,0)))</f>
        <v>0</v>
      </c>
      <c r="AD32" s="248">
        <f>IF($C32="",0,IF(ISNA(VLOOKUP($A32&amp;"_"&amp;AD$4,'2. หน้างบรายจ่าย'!$C:$K,9,0)),0,VLOOKUP($A32&amp;"_"&amp;AD$4,'2. หน้างบรายจ่าย'!$C:$K,9,0)))</f>
        <v>0</v>
      </c>
      <c r="AE32" s="246">
        <f>IF($C32="",0,IF(ISNA(VLOOKUP($A32&amp;"_"&amp;AE$4,'2. หน้างบรายจ่าย'!$C:$K,7,0)),0,VLOOKUP($A32&amp;"_"&amp;AE$4,'2. หน้างบรายจ่าย'!$C:$K,7,0)))</f>
        <v>0</v>
      </c>
      <c r="AF32" s="250">
        <f>IF($C32="",0,IF(ISNA(VLOOKUP($A32&amp;"_"&amp;AF$4,'2. หน้างบรายจ่าย'!$C:$K,8,0)),0,VLOOKUP($A32&amp;"_"&amp;AF$4,'2. หน้างบรายจ่าย'!$C:$K,8,0)))</f>
        <v>0</v>
      </c>
      <c r="AG32" s="248">
        <f>IF($C32="",0,IF(ISNA(VLOOKUP($A32&amp;"_"&amp;AG$4,'2. หน้างบรายจ่าย'!$C:$K,9,0)),0,VLOOKUP($A32&amp;"_"&amp;AG$4,'2. หน้างบรายจ่าย'!$C:$K,9,0)))</f>
        <v>0</v>
      </c>
      <c r="AH32" s="249">
        <f>IF($C32="",0,IF(ISNA(VLOOKUP($A32&amp;"_"&amp;AH$4,'2. หน้างบรายจ่าย'!$C:$K,7,0)),0,VLOOKUP($A32&amp;"_"&amp;AH$4,'2. หน้างบรายจ่าย'!$C:$K,7,0)))</f>
        <v>0</v>
      </c>
      <c r="AI32" s="250">
        <f>IF($C32="",0,IF(ISNA(VLOOKUP($A32&amp;"_"&amp;AI$4,'2. หน้างบรายจ่าย'!$C:$K,8,0)),0,VLOOKUP($A32&amp;"_"&amp;AI$4,'2. หน้างบรายจ่าย'!$C:$K,8,0)))</f>
        <v>0</v>
      </c>
      <c r="AJ32" s="248">
        <f>IF($C32="",0,IF(ISNA(VLOOKUP($A32&amp;"_"&amp;AJ$4,'2. หน้างบรายจ่าย'!$C:$K,9,0)),0,VLOOKUP($A32&amp;"_"&amp;AJ$4,'2. หน้างบรายจ่าย'!$C:$K,9,0)))</f>
        <v>0</v>
      </c>
      <c r="AK32" s="249">
        <f>IF($C32="",0,IF(ISNA(VLOOKUP($A32&amp;"_"&amp;AK$4,'2. หน้างบรายจ่าย'!$C:$K,7,0)),0,VLOOKUP($A32&amp;"_"&amp;AK$4,'2. หน้างบรายจ่าย'!$C:$K,7,0)))</f>
        <v>0</v>
      </c>
      <c r="AL32" s="250">
        <f>IF($C32="",0,IF(ISNA(VLOOKUP($A32&amp;"_"&amp;AL$4,'2. หน้างบรายจ่าย'!$C:$K,8,0)),0,VLOOKUP($A32&amp;"_"&amp;AL$4,'2. หน้างบรายจ่าย'!$C:$K,8,0)))</f>
        <v>0</v>
      </c>
      <c r="AM32" s="248">
        <f>IF($C32="",0,IF(ISNA(VLOOKUP($A32&amp;"_"&amp;AM$4,'2. หน้างบรายจ่าย'!$C:$K,9,0)),0,VLOOKUP($A32&amp;"_"&amp;AM$4,'2. หน้างบรายจ่าย'!$C:$K,9,0)))</f>
        <v>0</v>
      </c>
      <c r="AO32" s="169" t="s">
        <v>42</v>
      </c>
      <c r="AP32" s="171" t="str">
        <f t="shared" si="0"/>
        <v>Yes</v>
      </c>
    </row>
    <row r="33" spans="1:42" ht="25.5" customHeight="1">
      <c r="A33" s="210">
        <v>4</v>
      </c>
      <c r="B33" s="244" t="str">
        <f>IF(ISNA(VLOOKUP(A33,'2. หน้างบรายจ่าย'!$A:$K,4,0)),"",TEXT(VLOOKUP(A33,'2. หน้างบรายจ่าย'!$A:$K,4,0),"dd ดดด yy"))</f>
        <v>24 ก.พ. 69</v>
      </c>
      <c r="C33" s="245" t="str">
        <f>IF(ISNA(VLOOKUP(A33,'2. หน้างบรายจ่าย'!$A:$K,8,0)),"",VLOOKUP(A33,'2. หน้างบรายจ่าย'!$A:$K,8,0))</f>
        <v>เงิน พ.ข.ต. ส่วนเพิ่ม (บุตร) ผช. ผอ. สคต.</v>
      </c>
      <c r="D33" s="231">
        <f t="shared" si="22"/>
        <v>0</v>
      </c>
      <c r="E33" s="232">
        <f t="shared" si="23"/>
        <v>211.25</v>
      </c>
      <c r="F33" s="231">
        <f t="shared" si="24"/>
        <v>0</v>
      </c>
      <c r="G33" s="247">
        <f>IF($C33="",0,IF(ISNA(VLOOKUP($A33&amp;"_"&amp;G$4,'2. หน้างบรายจ่าย'!$C:$K,7,0)),0,VLOOKUP($A33&amp;"_"&amp;G$4,'2. หน้างบรายจ่าย'!$C:$K,7,0)))</f>
        <v>0</v>
      </c>
      <c r="H33" s="247">
        <f>IF($C33="",0,IF(ISNA(VLOOKUP($A33&amp;"_"&amp;H$4,'2. หน้างบรายจ่าย'!$C:$K,8,0)),0,VLOOKUP($A33&amp;"_"&amp;H$4,'2. หน้างบรายจ่าย'!$C:$K,8,0)))</f>
        <v>211.25</v>
      </c>
      <c r="I33" s="247">
        <f>IF($C33="",0,IF(ISNA(VLOOKUP($A33&amp;"_"&amp;I$4,'2. หน้างบรายจ่าย'!$C:$K,9,0)),0,VLOOKUP($A33&amp;"_"&amp;I$4,'2. หน้างบรายจ่าย'!$C:$K,9,0)))</f>
        <v>0</v>
      </c>
      <c r="J33" s="247">
        <f>IF($C33="",0,IF(ISNA(VLOOKUP($A33&amp;"_"&amp;J$4,'2. หน้างบรายจ่าย'!$C:$K,7,0)),0,VLOOKUP($A33&amp;"_"&amp;J$4,'2. หน้างบรายจ่าย'!$C:$K,7,0)))</f>
        <v>0</v>
      </c>
      <c r="K33" s="247">
        <f>IF($C33="",0,IF(ISNA(VLOOKUP($A33&amp;"_"&amp;K$4,'2. หน้างบรายจ่าย'!$C:$K,8,0)),0,VLOOKUP($A33&amp;"_"&amp;K$4,'2. หน้างบรายจ่าย'!$C:$K,8,0)))</f>
        <v>0</v>
      </c>
      <c r="L33" s="247">
        <f>IF($C33="",0,IF(ISNA(VLOOKUP($A33&amp;"_"&amp;L$4,'2. หน้างบรายจ่าย'!$C:$K,9,0)),0,VLOOKUP($A33&amp;"_"&amp;L$4,'2. หน้างบรายจ่าย'!$C:$K,9,0)))</f>
        <v>0</v>
      </c>
      <c r="M33" s="247">
        <f>IF($C33="",0,IF(ISNA(VLOOKUP($A33&amp;"_"&amp;M$4,'2. หน้างบรายจ่าย'!$C:$K,7,0)),0,VLOOKUP($A33&amp;"_"&amp;M$4,'2. หน้างบรายจ่าย'!$C:$K,7,0)))</f>
        <v>0</v>
      </c>
      <c r="N33" s="247">
        <f>IF($C33="",0,IF(ISNA(VLOOKUP($A33&amp;"_"&amp;N$4,'2. หน้างบรายจ่าย'!$C:$K,8,0)),0,VLOOKUP($A33&amp;"_"&amp;N$4,'2. หน้างบรายจ่าย'!$C:$K,8,0)))</f>
        <v>0</v>
      </c>
      <c r="O33" s="248">
        <f>IF($C33="",0,IF(ISNA(VLOOKUP($A33&amp;"_"&amp;O$4,'2. หน้างบรายจ่าย'!$C:$K,9,0)),0,VLOOKUP($A33&amp;"_"&amp;O$4,'2. หน้างบรายจ่าย'!$C:$K,9,0)))</f>
        <v>0</v>
      </c>
      <c r="P33" s="246">
        <f>IF($C33="",0,IF(ISNA(VLOOKUP($A33&amp;"_"&amp;P$4,'2. หน้างบรายจ่าย'!$C:$K,7,0)),0,VLOOKUP($A33&amp;"_"&amp;P$4,'2. หน้างบรายจ่าย'!$C:$K,7,0)))</f>
        <v>0</v>
      </c>
      <c r="Q33" s="249">
        <f>IF($C33="",0,IF(ISNA(VLOOKUP($A33&amp;"_"&amp;Q$4,'2. หน้างบรายจ่าย'!$C:$K,8,0)),0,VLOOKUP($A33&amp;"_"&amp;Q$4,'2. หน้างบรายจ่าย'!$C:$K,8,0)))</f>
        <v>0</v>
      </c>
      <c r="R33" s="247">
        <f>IF($C33="",0,IF(ISNA(VLOOKUP($A33&amp;"_"&amp;R$4,'2. หน้างบรายจ่าย'!$C:$K,9,0)),0,VLOOKUP($A33&amp;"_"&amp;R$4,'2. หน้างบรายจ่าย'!$C:$K,9,0)))</f>
        <v>0</v>
      </c>
      <c r="S33" s="247">
        <f>IF($C33="",0,IF(ISNA(VLOOKUP($A33&amp;"_"&amp;S$4,'2. หน้างบรายจ่าย'!$C:$K,7,0)),0,VLOOKUP($A33&amp;"_"&amp;S$4,'2. หน้างบรายจ่าย'!$C:$K,7,0)))</f>
        <v>0</v>
      </c>
      <c r="T33" s="247">
        <f>IF($C33="",0,IF(ISNA(VLOOKUP($A33&amp;"_"&amp;T$4,'2. หน้างบรายจ่าย'!$C:$K,8,0)),0,VLOOKUP($A33&amp;"_"&amp;T$4,'2. หน้างบรายจ่าย'!$C:$K,8,0)))</f>
        <v>0</v>
      </c>
      <c r="U33" s="247">
        <f>IF($C33="",0,IF(ISNA(VLOOKUP($A33&amp;"_"&amp;U$4,'2. หน้างบรายจ่าย'!$C:$K,9,0)),0,VLOOKUP($A33&amp;"_"&amp;U$4,'2. หน้างบรายจ่าย'!$C:$K,9,0)))</f>
        <v>0</v>
      </c>
      <c r="V33" s="247">
        <f>IF($C33="",0,IF(ISNA(VLOOKUP($A33&amp;"_"&amp;V$4,'2. หน้างบรายจ่าย'!$C:$K,7,0)),0,VLOOKUP($A33&amp;"_"&amp;V$4,'2. หน้างบรายจ่าย'!$C:$K,7,0)))</f>
        <v>0</v>
      </c>
      <c r="W33" s="247">
        <f>IF($C33="",0,IF(ISNA(VLOOKUP($A33&amp;"_"&amp;W$4,'2. หน้างบรายจ่าย'!$C:$K,8,0)),0,VLOOKUP($A33&amp;"_"&amp;W$4,'2. หน้างบรายจ่าย'!$C:$K,8,0)))</f>
        <v>0</v>
      </c>
      <c r="X33" s="247">
        <f>IF($C33="",0,IF(ISNA(VLOOKUP($A33&amp;"_"&amp;X$4,'2. หน้างบรายจ่าย'!$C:$K,9,0)),0,VLOOKUP($A33&amp;"_"&amp;X$4,'2. หน้างบรายจ่าย'!$C:$K,9,0)))</f>
        <v>0</v>
      </c>
      <c r="Y33" s="247">
        <f>IF($C33="",0,IF(ISNA(VLOOKUP($A33&amp;"_"&amp;Y$4,'2. หน้างบรายจ่าย'!$C:$K,7,0)),0,VLOOKUP($A33&amp;"_"&amp;Y$4,'2. หน้างบรายจ่าย'!$C:$K,7,0)))</f>
        <v>0</v>
      </c>
      <c r="Z33" s="247">
        <f>IF($C33="",0,IF(ISNA(VLOOKUP($A33&amp;"_"&amp;Z$4,'2. หน้างบรายจ่าย'!$C:$K,8,0)),0,VLOOKUP($A33&amp;"_"&amp;Z$4,'2. หน้างบรายจ่าย'!$C:$K,8,0)))</f>
        <v>0</v>
      </c>
      <c r="AA33" s="247">
        <f>IF($C33="",0,IF(ISNA(VLOOKUP($A33&amp;"_"&amp;AA$4,'2. หน้างบรายจ่าย'!$C:$K,9,0)),0,VLOOKUP($A33&amp;"_"&amp;AA$4,'2. หน้างบรายจ่าย'!$C:$K,9,0)))</f>
        <v>0</v>
      </c>
      <c r="AB33" s="247">
        <f>IF($C33="",0,IF(ISNA(VLOOKUP($A33&amp;"_"&amp;AB$4,'2. หน้างบรายจ่าย'!$C:$K,7,0)),0,VLOOKUP($A33&amp;"_"&amp;AB$4,'2. หน้างบรายจ่าย'!$C:$K,7,0)))</f>
        <v>0</v>
      </c>
      <c r="AC33" s="251">
        <f>IF($C33="",0,IF(ISNA(VLOOKUP($A33&amp;"_"&amp;AC$4,'2. หน้างบรายจ่าย'!$C:$K,8,0)),0,VLOOKUP($A33&amp;"_"&amp;AC$4,'2. หน้างบรายจ่าย'!$C:$K,8,0)))</f>
        <v>0</v>
      </c>
      <c r="AD33" s="248">
        <f>IF($C33="",0,IF(ISNA(VLOOKUP($A33&amp;"_"&amp;AD$4,'2. หน้างบรายจ่าย'!$C:$K,9,0)),0,VLOOKUP($A33&amp;"_"&amp;AD$4,'2. หน้างบรายจ่าย'!$C:$K,9,0)))</f>
        <v>0</v>
      </c>
      <c r="AE33" s="246">
        <f>IF($C33="",0,IF(ISNA(VLOOKUP($A33&amp;"_"&amp;AE$4,'2. หน้างบรายจ่าย'!$C:$K,7,0)),0,VLOOKUP($A33&amp;"_"&amp;AE$4,'2. หน้างบรายจ่าย'!$C:$K,7,0)))</f>
        <v>0</v>
      </c>
      <c r="AF33" s="250">
        <f>IF($C33="",0,IF(ISNA(VLOOKUP($A33&amp;"_"&amp;AF$4,'2. หน้างบรายจ่าย'!$C:$K,8,0)),0,VLOOKUP($A33&amp;"_"&amp;AF$4,'2. หน้างบรายจ่าย'!$C:$K,8,0)))</f>
        <v>0</v>
      </c>
      <c r="AG33" s="248">
        <f>IF($C33="",0,IF(ISNA(VLOOKUP($A33&amp;"_"&amp;AG$4,'2. หน้างบรายจ่าย'!$C:$K,9,0)),0,VLOOKUP($A33&amp;"_"&amp;AG$4,'2. หน้างบรายจ่าย'!$C:$K,9,0)))</f>
        <v>0</v>
      </c>
      <c r="AH33" s="249">
        <f>IF($C33="",0,IF(ISNA(VLOOKUP($A33&amp;"_"&amp;AH$4,'2. หน้างบรายจ่าย'!$C:$K,7,0)),0,VLOOKUP($A33&amp;"_"&amp;AH$4,'2. หน้างบรายจ่าย'!$C:$K,7,0)))</f>
        <v>0</v>
      </c>
      <c r="AI33" s="250">
        <f>IF($C33="",0,IF(ISNA(VLOOKUP($A33&amp;"_"&amp;AI$4,'2. หน้างบรายจ่าย'!$C:$K,8,0)),0,VLOOKUP($A33&amp;"_"&amp;AI$4,'2. หน้างบรายจ่าย'!$C:$K,8,0)))</f>
        <v>0</v>
      </c>
      <c r="AJ33" s="248">
        <f>IF($C33="",0,IF(ISNA(VLOOKUP($A33&amp;"_"&amp;AJ$4,'2. หน้างบรายจ่าย'!$C:$K,9,0)),0,VLOOKUP($A33&amp;"_"&amp;AJ$4,'2. หน้างบรายจ่าย'!$C:$K,9,0)))</f>
        <v>0</v>
      </c>
      <c r="AK33" s="249">
        <f>IF($C33="",0,IF(ISNA(VLOOKUP($A33&amp;"_"&amp;AK$4,'2. หน้างบรายจ่าย'!$C:$K,7,0)),0,VLOOKUP($A33&amp;"_"&amp;AK$4,'2. หน้างบรายจ่าย'!$C:$K,7,0)))</f>
        <v>0</v>
      </c>
      <c r="AL33" s="250">
        <f>IF($C33="",0,IF(ISNA(VLOOKUP($A33&amp;"_"&amp;AL$4,'2. หน้างบรายจ่าย'!$C:$K,8,0)),0,VLOOKUP($A33&amp;"_"&amp;AL$4,'2. หน้างบรายจ่าย'!$C:$K,8,0)))</f>
        <v>0</v>
      </c>
      <c r="AM33" s="248">
        <f>IF($C33="",0,IF(ISNA(VLOOKUP($A33&amp;"_"&amp;AM$4,'2. หน้างบรายจ่าย'!$C:$K,9,0)),0,VLOOKUP($A33&amp;"_"&amp;AM$4,'2. หน้างบรายจ่าย'!$C:$K,9,0)))</f>
        <v>0</v>
      </c>
      <c r="AO33" s="169" t="s">
        <v>42</v>
      </c>
      <c r="AP33" s="171" t="str">
        <f t="shared" si="0"/>
        <v>Yes</v>
      </c>
    </row>
    <row r="34" spans="1:42" ht="25.5" customHeight="1">
      <c r="A34" s="210">
        <v>5</v>
      </c>
      <c r="B34" s="244" t="str">
        <f>IF(ISNA(VLOOKUP(A34,'2. หน้างบรายจ่าย'!$A:$K,4,0)),"",TEXT(VLOOKUP(A34,'2. หน้างบรายจ่าย'!$A:$K,4,0),"dd ดดด yy"))</f>
        <v>24 ก.พ. 69</v>
      </c>
      <c r="C34" s="245" t="str">
        <f>IF(ISNA(VLOOKUP(A34,'2. หน้างบรายจ่าย'!$A:$K,8,0)),"",VLOOKUP(A34,'2. หน้างบรายจ่าย'!$A:$K,8,0))</f>
        <v>ค่าจ้างลูกจ้างชั่วคราวฯ ผู้ช่วยดำเนินการฯ คนที่ 2</v>
      </c>
      <c r="D34" s="231">
        <f t="shared" si="22"/>
        <v>0</v>
      </c>
      <c r="E34" s="232">
        <f t="shared" si="23"/>
        <v>505</v>
      </c>
      <c r="F34" s="231">
        <f t="shared" si="24"/>
        <v>0</v>
      </c>
      <c r="G34" s="247">
        <f>IF($C34="",0,IF(ISNA(VLOOKUP($A34&amp;"_"&amp;G$4,'2. หน้างบรายจ่าย'!$C:$K,7,0)),0,VLOOKUP($A34&amp;"_"&amp;G$4,'2. หน้างบรายจ่าย'!$C:$K,7,0)))</f>
        <v>0</v>
      </c>
      <c r="H34" s="247">
        <f>IF($C34="",0,IF(ISNA(VLOOKUP($A34&amp;"_"&amp;H$4,'2. หน้างบรายจ่าย'!$C:$K,8,0)),0,VLOOKUP($A34&amp;"_"&amp;H$4,'2. หน้างบรายจ่าย'!$C:$K,8,0)))</f>
        <v>0</v>
      </c>
      <c r="I34" s="247">
        <f>IF($C34="",0,IF(ISNA(VLOOKUP($A34&amp;"_"&amp;I$4,'2. หน้างบรายจ่าย'!$C:$K,9,0)),0,VLOOKUP($A34&amp;"_"&amp;I$4,'2. หน้างบรายจ่าย'!$C:$K,9,0)))</f>
        <v>0</v>
      </c>
      <c r="J34" s="247">
        <f>IF($C34="",0,IF(ISNA(VLOOKUP($A34&amp;"_"&amp;J$4,'2. หน้างบรายจ่าย'!$C:$K,7,0)),0,VLOOKUP($A34&amp;"_"&amp;J$4,'2. หน้างบรายจ่าย'!$C:$K,7,0)))</f>
        <v>0</v>
      </c>
      <c r="K34" s="247">
        <f>IF($C34="",0,IF(ISNA(VLOOKUP($A34&amp;"_"&amp;K$4,'2. หน้างบรายจ่าย'!$C:$K,8,0)),0,VLOOKUP($A34&amp;"_"&amp;K$4,'2. หน้างบรายจ่าย'!$C:$K,8,0)))</f>
        <v>505</v>
      </c>
      <c r="L34" s="247">
        <f>IF($C34="",0,IF(ISNA(VLOOKUP($A34&amp;"_"&amp;L$4,'2. หน้างบรายจ่าย'!$C:$K,9,0)),0,VLOOKUP($A34&amp;"_"&amp;L$4,'2. หน้างบรายจ่าย'!$C:$K,9,0)))</f>
        <v>0</v>
      </c>
      <c r="M34" s="247">
        <f>IF($C34="",0,IF(ISNA(VLOOKUP($A34&amp;"_"&amp;M$4,'2. หน้างบรายจ่าย'!$C:$K,7,0)),0,VLOOKUP($A34&amp;"_"&amp;M$4,'2. หน้างบรายจ่าย'!$C:$K,7,0)))</f>
        <v>0</v>
      </c>
      <c r="N34" s="247">
        <f>IF($C34="",0,IF(ISNA(VLOOKUP($A34&amp;"_"&amp;N$4,'2. หน้างบรายจ่าย'!$C:$K,8,0)),0,VLOOKUP($A34&amp;"_"&amp;N$4,'2. หน้างบรายจ่าย'!$C:$K,8,0)))</f>
        <v>0</v>
      </c>
      <c r="O34" s="248">
        <f>IF($C34="",0,IF(ISNA(VLOOKUP($A34&amp;"_"&amp;O$4,'2. หน้างบรายจ่าย'!$C:$K,9,0)),0,VLOOKUP($A34&amp;"_"&amp;O$4,'2. หน้างบรายจ่าย'!$C:$K,9,0)))</f>
        <v>0</v>
      </c>
      <c r="P34" s="246">
        <f>IF($C34="",0,IF(ISNA(VLOOKUP($A34&amp;"_"&amp;P$4,'2. หน้างบรายจ่าย'!$C:$K,7,0)),0,VLOOKUP($A34&amp;"_"&amp;P$4,'2. หน้างบรายจ่าย'!$C:$K,7,0)))</f>
        <v>0</v>
      </c>
      <c r="Q34" s="249">
        <f>IF($C34="",0,IF(ISNA(VLOOKUP($A34&amp;"_"&amp;Q$4,'2. หน้างบรายจ่าย'!$C:$K,8,0)),0,VLOOKUP($A34&amp;"_"&amp;Q$4,'2. หน้างบรายจ่าย'!$C:$K,8,0)))</f>
        <v>0</v>
      </c>
      <c r="R34" s="247">
        <f>IF($C34="",0,IF(ISNA(VLOOKUP($A34&amp;"_"&amp;R$4,'2. หน้างบรายจ่าย'!$C:$K,9,0)),0,VLOOKUP($A34&amp;"_"&amp;R$4,'2. หน้างบรายจ่าย'!$C:$K,9,0)))</f>
        <v>0</v>
      </c>
      <c r="S34" s="247">
        <f>IF($C34="",0,IF(ISNA(VLOOKUP($A34&amp;"_"&amp;S$4,'2. หน้างบรายจ่าย'!$C:$K,7,0)),0,VLOOKUP($A34&amp;"_"&amp;S$4,'2. หน้างบรายจ่าย'!$C:$K,7,0)))</f>
        <v>0</v>
      </c>
      <c r="T34" s="247">
        <f>IF($C34="",0,IF(ISNA(VLOOKUP($A34&amp;"_"&amp;T$4,'2. หน้างบรายจ่าย'!$C:$K,8,0)),0,VLOOKUP($A34&amp;"_"&amp;T$4,'2. หน้างบรายจ่าย'!$C:$K,8,0)))</f>
        <v>0</v>
      </c>
      <c r="U34" s="247">
        <f>IF($C34="",0,IF(ISNA(VLOOKUP($A34&amp;"_"&amp;U$4,'2. หน้างบรายจ่าย'!$C:$K,9,0)),0,VLOOKUP($A34&amp;"_"&amp;U$4,'2. หน้างบรายจ่าย'!$C:$K,9,0)))</f>
        <v>0</v>
      </c>
      <c r="V34" s="247">
        <f>IF($C34="",0,IF(ISNA(VLOOKUP($A34&amp;"_"&amp;V$4,'2. หน้างบรายจ่าย'!$C:$K,7,0)),0,VLOOKUP($A34&amp;"_"&amp;V$4,'2. หน้างบรายจ่าย'!$C:$K,7,0)))</f>
        <v>0</v>
      </c>
      <c r="W34" s="247">
        <f>IF($C34="",0,IF(ISNA(VLOOKUP($A34&amp;"_"&amp;W$4,'2. หน้างบรายจ่าย'!$C:$K,8,0)),0,VLOOKUP($A34&amp;"_"&amp;W$4,'2. หน้างบรายจ่าย'!$C:$K,8,0)))</f>
        <v>0</v>
      </c>
      <c r="X34" s="247">
        <f>IF($C34="",0,IF(ISNA(VLOOKUP($A34&amp;"_"&amp;X$4,'2. หน้างบรายจ่าย'!$C:$K,9,0)),0,VLOOKUP($A34&amp;"_"&amp;X$4,'2. หน้างบรายจ่าย'!$C:$K,9,0)))</f>
        <v>0</v>
      </c>
      <c r="Y34" s="247">
        <f>IF($C34="",0,IF(ISNA(VLOOKUP($A34&amp;"_"&amp;Y$4,'2. หน้างบรายจ่าย'!$C:$K,7,0)),0,VLOOKUP($A34&amp;"_"&amp;Y$4,'2. หน้างบรายจ่าย'!$C:$K,7,0)))</f>
        <v>0</v>
      </c>
      <c r="Z34" s="247">
        <f>IF($C34="",0,IF(ISNA(VLOOKUP($A34&amp;"_"&amp;Z$4,'2. หน้างบรายจ่าย'!$C:$K,8,0)),0,VLOOKUP($A34&amp;"_"&amp;Z$4,'2. หน้างบรายจ่าย'!$C:$K,8,0)))</f>
        <v>0</v>
      </c>
      <c r="AA34" s="247">
        <f>IF($C34="",0,IF(ISNA(VLOOKUP($A34&amp;"_"&amp;AA$4,'2. หน้างบรายจ่าย'!$C:$K,9,0)),0,VLOOKUP($A34&amp;"_"&amp;AA$4,'2. หน้างบรายจ่าย'!$C:$K,9,0)))</f>
        <v>0</v>
      </c>
      <c r="AB34" s="247">
        <f>IF($C34="",0,IF(ISNA(VLOOKUP($A34&amp;"_"&amp;AB$4,'2. หน้างบรายจ่าย'!$C:$K,7,0)),0,VLOOKUP($A34&amp;"_"&amp;AB$4,'2. หน้างบรายจ่าย'!$C:$K,7,0)))</f>
        <v>0</v>
      </c>
      <c r="AC34" s="251">
        <f>IF($C34="",0,IF(ISNA(VLOOKUP($A34&amp;"_"&amp;AC$4,'2. หน้างบรายจ่าย'!$C:$K,8,0)),0,VLOOKUP($A34&amp;"_"&amp;AC$4,'2. หน้างบรายจ่าย'!$C:$K,8,0)))</f>
        <v>0</v>
      </c>
      <c r="AD34" s="248">
        <f>IF($C34="",0,IF(ISNA(VLOOKUP($A34&amp;"_"&amp;AD$4,'2. หน้างบรายจ่าย'!$C:$K,9,0)),0,VLOOKUP($A34&amp;"_"&amp;AD$4,'2. หน้างบรายจ่าย'!$C:$K,9,0)))</f>
        <v>0</v>
      </c>
      <c r="AE34" s="246">
        <f>IF($C34="",0,IF(ISNA(VLOOKUP($A34&amp;"_"&amp;AE$4,'2. หน้างบรายจ่าย'!$C:$K,7,0)),0,VLOOKUP($A34&amp;"_"&amp;AE$4,'2. หน้างบรายจ่าย'!$C:$K,7,0)))</f>
        <v>0</v>
      </c>
      <c r="AF34" s="250">
        <f>IF($C34="",0,IF(ISNA(VLOOKUP($A34&amp;"_"&amp;AF$4,'2. หน้างบรายจ่าย'!$C:$K,8,0)),0,VLOOKUP($A34&amp;"_"&amp;AF$4,'2. หน้างบรายจ่าย'!$C:$K,8,0)))</f>
        <v>0</v>
      </c>
      <c r="AG34" s="248">
        <f>IF($C34="",0,IF(ISNA(VLOOKUP($A34&amp;"_"&amp;AG$4,'2. หน้างบรายจ่าย'!$C:$K,9,0)),0,VLOOKUP($A34&amp;"_"&amp;AG$4,'2. หน้างบรายจ่าย'!$C:$K,9,0)))</f>
        <v>0</v>
      </c>
      <c r="AH34" s="249">
        <f>IF($C34="",0,IF(ISNA(VLOOKUP($A34&amp;"_"&amp;AH$4,'2. หน้างบรายจ่าย'!$C:$K,7,0)),0,VLOOKUP($A34&amp;"_"&amp;AH$4,'2. หน้างบรายจ่าย'!$C:$K,7,0)))</f>
        <v>0</v>
      </c>
      <c r="AI34" s="250">
        <f>IF($C34="",0,IF(ISNA(VLOOKUP($A34&amp;"_"&amp;AI$4,'2. หน้างบรายจ่าย'!$C:$K,8,0)),0,VLOOKUP($A34&amp;"_"&amp;AI$4,'2. หน้างบรายจ่าย'!$C:$K,8,0)))</f>
        <v>0</v>
      </c>
      <c r="AJ34" s="248">
        <f>IF($C34="",0,IF(ISNA(VLOOKUP($A34&amp;"_"&amp;AJ$4,'2. หน้างบรายจ่าย'!$C:$K,9,0)),0,VLOOKUP($A34&amp;"_"&amp;AJ$4,'2. หน้างบรายจ่าย'!$C:$K,9,0)))</f>
        <v>0</v>
      </c>
      <c r="AK34" s="249">
        <f>IF($C34="",0,IF(ISNA(VLOOKUP($A34&amp;"_"&amp;AK$4,'2. หน้างบรายจ่าย'!$C:$K,7,0)),0,VLOOKUP($A34&amp;"_"&amp;AK$4,'2. หน้างบรายจ่าย'!$C:$K,7,0)))</f>
        <v>0</v>
      </c>
      <c r="AL34" s="250">
        <f>IF($C34="",0,IF(ISNA(VLOOKUP($A34&amp;"_"&amp;AL$4,'2. หน้างบรายจ่าย'!$C:$K,8,0)),0,VLOOKUP($A34&amp;"_"&amp;AL$4,'2. หน้างบรายจ่าย'!$C:$K,8,0)))</f>
        <v>0</v>
      </c>
      <c r="AM34" s="248">
        <f>IF($C34="",0,IF(ISNA(VLOOKUP($A34&amp;"_"&amp;AM$4,'2. หน้างบรายจ่าย'!$C:$K,9,0)),0,VLOOKUP($A34&amp;"_"&amp;AM$4,'2. หน้างบรายจ่าย'!$C:$K,9,0)))</f>
        <v>0</v>
      </c>
      <c r="AP34" s="171" t="str">
        <f t="shared" si="0"/>
        <v>Yes</v>
      </c>
    </row>
    <row r="35" spans="1:42" ht="25.5" customHeight="1">
      <c r="A35" s="210">
        <v>6</v>
      </c>
      <c r="B35" s="244" t="str">
        <f>IF(ISNA(VLOOKUP(A35,'2. หน้างบรายจ่าย'!$A:$K,4,0)),"",TEXT(VLOOKUP(A35,'2. หน้างบรายจ่าย'!$A:$K,4,0),"dd ดดด yy"))</f>
        <v>24 ก.พ. 69</v>
      </c>
      <c r="C35" s="245" t="str">
        <f>IF(ISNA(VLOOKUP(A35,'2. หน้างบรายจ่าย'!$A:$K,8,0)),"",VLOOKUP(A35,'2. หน้างบรายจ่าย'!$A:$K,8,0))</f>
        <v>ค่าจ้างลูกจ้างชั่วคราวฯ พนักงานขับรถยนต์</v>
      </c>
      <c r="D35" s="231">
        <f t="shared" si="22"/>
        <v>0</v>
      </c>
      <c r="E35" s="232">
        <f t="shared" si="23"/>
        <v>312</v>
      </c>
      <c r="F35" s="231">
        <f t="shared" si="24"/>
        <v>0</v>
      </c>
      <c r="G35" s="247">
        <f>IF($C35="",0,IF(ISNA(VLOOKUP($A35&amp;"_"&amp;G$4,'2. หน้างบรายจ่าย'!$C:$K,7,0)),0,VLOOKUP($A35&amp;"_"&amp;G$4,'2. หน้างบรายจ่าย'!$C:$K,7,0)))</f>
        <v>0</v>
      </c>
      <c r="H35" s="247">
        <f>IF($C35="",0,IF(ISNA(VLOOKUP($A35&amp;"_"&amp;H$4,'2. หน้างบรายจ่าย'!$C:$K,8,0)),0,VLOOKUP($A35&amp;"_"&amp;H$4,'2. หน้างบรายจ่าย'!$C:$K,8,0)))</f>
        <v>0</v>
      </c>
      <c r="I35" s="247">
        <f>IF($C35="",0,IF(ISNA(VLOOKUP($A35&amp;"_"&amp;I$4,'2. หน้างบรายจ่าย'!$C:$K,9,0)),0,VLOOKUP($A35&amp;"_"&amp;I$4,'2. หน้างบรายจ่าย'!$C:$K,9,0)))</f>
        <v>0</v>
      </c>
      <c r="J35" s="247">
        <f>IF($C35="",0,IF(ISNA(VLOOKUP($A35&amp;"_"&amp;J$4,'2. หน้างบรายจ่าย'!$C:$K,7,0)),0,VLOOKUP($A35&amp;"_"&amp;J$4,'2. หน้างบรายจ่าย'!$C:$K,7,0)))</f>
        <v>0</v>
      </c>
      <c r="K35" s="247">
        <f>IF($C35="",0,IF(ISNA(VLOOKUP($A35&amp;"_"&amp;K$4,'2. หน้างบรายจ่าย'!$C:$K,8,0)),0,VLOOKUP($A35&amp;"_"&amp;K$4,'2. หน้างบรายจ่าย'!$C:$K,8,0)))</f>
        <v>312</v>
      </c>
      <c r="L35" s="247">
        <f>IF($C35="",0,IF(ISNA(VLOOKUP($A35&amp;"_"&amp;L$4,'2. หน้างบรายจ่าย'!$C:$K,9,0)),0,VLOOKUP($A35&amp;"_"&amp;L$4,'2. หน้างบรายจ่าย'!$C:$K,9,0)))</f>
        <v>0</v>
      </c>
      <c r="M35" s="247">
        <f>IF($C35="",0,IF(ISNA(VLOOKUP($A35&amp;"_"&amp;M$4,'2. หน้างบรายจ่าย'!$C:$K,7,0)),0,VLOOKUP($A35&amp;"_"&amp;M$4,'2. หน้างบรายจ่าย'!$C:$K,7,0)))</f>
        <v>0</v>
      </c>
      <c r="N35" s="247">
        <f>IF($C35="",0,IF(ISNA(VLOOKUP($A35&amp;"_"&amp;N$4,'2. หน้างบรายจ่าย'!$C:$K,8,0)),0,VLOOKUP($A35&amp;"_"&amp;N$4,'2. หน้างบรายจ่าย'!$C:$K,8,0)))</f>
        <v>0</v>
      </c>
      <c r="O35" s="248">
        <f>IF($C35="",0,IF(ISNA(VLOOKUP($A35&amp;"_"&amp;O$4,'2. หน้างบรายจ่าย'!$C:$K,9,0)),0,VLOOKUP($A35&amp;"_"&amp;O$4,'2. หน้างบรายจ่าย'!$C:$K,9,0)))</f>
        <v>0</v>
      </c>
      <c r="P35" s="246">
        <f>IF($C35="",0,IF(ISNA(VLOOKUP($A35&amp;"_"&amp;P$4,'2. หน้างบรายจ่าย'!$C:$K,7,0)),0,VLOOKUP($A35&amp;"_"&amp;P$4,'2. หน้างบรายจ่าย'!$C:$K,7,0)))</f>
        <v>0</v>
      </c>
      <c r="Q35" s="249">
        <f>IF($C35="",0,IF(ISNA(VLOOKUP($A35&amp;"_"&amp;Q$4,'2. หน้างบรายจ่าย'!$C:$K,8,0)),0,VLOOKUP($A35&amp;"_"&amp;Q$4,'2. หน้างบรายจ่าย'!$C:$K,8,0)))</f>
        <v>0</v>
      </c>
      <c r="R35" s="247">
        <f>IF($C35="",0,IF(ISNA(VLOOKUP($A35&amp;"_"&amp;R$4,'2. หน้างบรายจ่าย'!$C:$K,9,0)),0,VLOOKUP($A35&amp;"_"&amp;R$4,'2. หน้างบรายจ่าย'!$C:$K,9,0)))</f>
        <v>0</v>
      </c>
      <c r="S35" s="247">
        <f>IF($C35="",0,IF(ISNA(VLOOKUP($A35&amp;"_"&amp;S$4,'2. หน้างบรายจ่าย'!$C:$K,7,0)),0,VLOOKUP($A35&amp;"_"&amp;S$4,'2. หน้างบรายจ่าย'!$C:$K,7,0)))</f>
        <v>0</v>
      </c>
      <c r="T35" s="247">
        <f>IF($C35="",0,IF(ISNA(VLOOKUP($A35&amp;"_"&amp;T$4,'2. หน้างบรายจ่าย'!$C:$K,8,0)),0,VLOOKUP($A35&amp;"_"&amp;T$4,'2. หน้างบรายจ่าย'!$C:$K,8,0)))</f>
        <v>0</v>
      </c>
      <c r="U35" s="247">
        <f>IF($C35="",0,IF(ISNA(VLOOKUP($A35&amp;"_"&amp;U$4,'2. หน้างบรายจ่าย'!$C:$K,9,0)),0,VLOOKUP($A35&amp;"_"&amp;U$4,'2. หน้างบรายจ่าย'!$C:$K,9,0)))</f>
        <v>0</v>
      </c>
      <c r="V35" s="247">
        <f>IF($C35="",0,IF(ISNA(VLOOKUP($A35&amp;"_"&amp;V$4,'2. หน้างบรายจ่าย'!$C:$K,7,0)),0,VLOOKUP($A35&amp;"_"&amp;V$4,'2. หน้างบรายจ่าย'!$C:$K,7,0)))</f>
        <v>0</v>
      </c>
      <c r="W35" s="247">
        <f>IF($C35="",0,IF(ISNA(VLOOKUP($A35&amp;"_"&amp;W$4,'2. หน้างบรายจ่าย'!$C:$K,8,0)),0,VLOOKUP($A35&amp;"_"&amp;W$4,'2. หน้างบรายจ่าย'!$C:$K,8,0)))</f>
        <v>0</v>
      </c>
      <c r="X35" s="247">
        <f>IF($C35="",0,IF(ISNA(VLOOKUP($A35&amp;"_"&amp;X$4,'2. หน้างบรายจ่าย'!$C:$K,9,0)),0,VLOOKUP($A35&amp;"_"&amp;X$4,'2. หน้างบรายจ่าย'!$C:$K,9,0)))</f>
        <v>0</v>
      </c>
      <c r="Y35" s="247">
        <f>IF($C35="",0,IF(ISNA(VLOOKUP($A35&amp;"_"&amp;Y$4,'2. หน้างบรายจ่าย'!$C:$K,7,0)),0,VLOOKUP($A35&amp;"_"&amp;Y$4,'2. หน้างบรายจ่าย'!$C:$K,7,0)))</f>
        <v>0</v>
      </c>
      <c r="Z35" s="247">
        <f>IF($C35="",0,IF(ISNA(VLOOKUP($A35&amp;"_"&amp;Z$4,'2. หน้างบรายจ่าย'!$C:$K,8,0)),0,VLOOKUP($A35&amp;"_"&amp;Z$4,'2. หน้างบรายจ่าย'!$C:$K,8,0)))</f>
        <v>0</v>
      </c>
      <c r="AA35" s="247">
        <f>IF($C35="",0,IF(ISNA(VLOOKUP($A35&amp;"_"&amp;AA$4,'2. หน้างบรายจ่าย'!$C:$K,9,0)),0,VLOOKUP($A35&amp;"_"&amp;AA$4,'2. หน้างบรายจ่าย'!$C:$K,9,0)))</f>
        <v>0</v>
      </c>
      <c r="AB35" s="247">
        <f>IF($C35="",0,IF(ISNA(VLOOKUP($A35&amp;"_"&amp;AB$4,'2. หน้างบรายจ่าย'!$C:$K,7,0)),0,VLOOKUP($A35&amp;"_"&amp;AB$4,'2. หน้างบรายจ่าย'!$C:$K,7,0)))</f>
        <v>0</v>
      </c>
      <c r="AC35" s="251">
        <f>IF($C35="",0,IF(ISNA(VLOOKUP($A35&amp;"_"&amp;AC$4,'2. หน้างบรายจ่าย'!$C:$K,8,0)),0,VLOOKUP($A35&amp;"_"&amp;AC$4,'2. หน้างบรายจ่าย'!$C:$K,8,0)))</f>
        <v>0</v>
      </c>
      <c r="AD35" s="248">
        <f>IF($C35="",0,IF(ISNA(VLOOKUP($A35&amp;"_"&amp;AD$4,'2. หน้างบรายจ่าย'!$C:$K,9,0)),0,VLOOKUP($A35&amp;"_"&amp;AD$4,'2. หน้างบรายจ่าย'!$C:$K,9,0)))</f>
        <v>0</v>
      </c>
      <c r="AE35" s="246">
        <f>IF($C35="",0,IF(ISNA(VLOOKUP($A35&amp;"_"&amp;AE$4,'2. หน้างบรายจ่าย'!$C:$K,7,0)),0,VLOOKUP($A35&amp;"_"&amp;AE$4,'2. หน้างบรายจ่าย'!$C:$K,7,0)))</f>
        <v>0</v>
      </c>
      <c r="AF35" s="250">
        <f>IF($C35="",0,IF(ISNA(VLOOKUP($A35&amp;"_"&amp;AF$4,'2. หน้างบรายจ่าย'!$C:$K,8,0)),0,VLOOKUP($A35&amp;"_"&amp;AF$4,'2. หน้างบรายจ่าย'!$C:$K,8,0)))</f>
        <v>0</v>
      </c>
      <c r="AG35" s="248">
        <f>IF($C35="",0,IF(ISNA(VLOOKUP($A35&amp;"_"&amp;AG$4,'2. หน้างบรายจ่าย'!$C:$K,9,0)),0,VLOOKUP($A35&amp;"_"&amp;AG$4,'2. หน้างบรายจ่าย'!$C:$K,9,0)))</f>
        <v>0</v>
      </c>
      <c r="AH35" s="249">
        <f>IF($C35="",0,IF(ISNA(VLOOKUP($A35&amp;"_"&amp;AH$4,'2. หน้างบรายจ่าย'!$C:$K,7,0)),0,VLOOKUP($A35&amp;"_"&amp;AH$4,'2. หน้างบรายจ่าย'!$C:$K,7,0)))</f>
        <v>0</v>
      </c>
      <c r="AI35" s="250">
        <f>IF($C35="",0,IF(ISNA(VLOOKUP($A35&amp;"_"&amp;AI$4,'2. หน้างบรายจ่าย'!$C:$K,8,0)),0,VLOOKUP($A35&amp;"_"&amp;AI$4,'2. หน้างบรายจ่าย'!$C:$K,8,0)))</f>
        <v>0</v>
      </c>
      <c r="AJ35" s="248">
        <f>IF($C35="",0,IF(ISNA(VLOOKUP($A35&amp;"_"&amp;AJ$4,'2. หน้างบรายจ่าย'!$C:$K,9,0)),0,VLOOKUP($A35&amp;"_"&amp;AJ$4,'2. หน้างบรายจ่าย'!$C:$K,9,0)))</f>
        <v>0</v>
      </c>
      <c r="AK35" s="249">
        <f>IF($C35="",0,IF(ISNA(VLOOKUP($A35&amp;"_"&amp;AK$4,'2. หน้างบรายจ่าย'!$C:$K,7,0)),0,VLOOKUP($A35&amp;"_"&amp;AK$4,'2. หน้างบรายจ่าย'!$C:$K,7,0)))</f>
        <v>0</v>
      </c>
      <c r="AL35" s="250">
        <f>IF($C35="",0,IF(ISNA(VLOOKUP($A35&amp;"_"&amp;AL$4,'2. หน้างบรายจ่าย'!$C:$K,8,0)),0,VLOOKUP($A35&amp;"_"&amp;AL$4,'2. หน้างบรายจ่าย'!$C:$K,8,0)))</f>
        <v>0</v>
      </c>
      <c r="AM35" s="248">
        <f>IF($C35="",0,IF(ISNA(VLOOKUP($A35&amp;"_"&amp;AM$4,'2. หน้างบรายจ่าย'!$C:$K,9,0)),0,VLOOKUP($A35&amp;"_"&amp;AM$4,'2. หน้างบรายจ่าย'!$C:$K,9,0)))</f>
        <v>0</v>
      </c>
      <c r="AP35" s="171" t="str">
        <f t="shared" si="0"/>
        <v>Yes</v>
      </c>
    </row>
    <row r="36" spans="1:42" ht="25.5" customHeight="1">
      <c r="A36" s="210">
        <v>7</v>
      </c>
      <c r="B36" s="244" t="str">
        <f>IF(ISNA(VLOOKUP(A36,'2. หน้างบรายจ่าย'!$A:$K,4,0)),"",TEXT(VLOOKUP(A36,'2. หน้างบรายจ่าย'!$A:$K,4,0),"dd ดดด yy"))</f>
        <v>27 ก.พ. 69</v>
      </c>
      <c r="C36" s="245" t="str">
        <f>IF(ISNA(VLOOKUP(A36,'2. หน้างบรายจ่าย'!$A:$K,8,0)),"",VLOOKUP(A36,'2. หน้างบรายจ่าย'!$A:$K,8,0))</f>
        <v xml:space="preserve">ค่าไฟฟ้า-บ้านพักขรก.ใน ตปท.  (ผอ. สคต.) </v>
      </c>
      <c r="D36" s="231">
        <f t="shared" si="22"/>
        <v>0</v>
      </c>
      <c r="E36" s="232">
        <f t="shared" si="23"/>
        <v>0</v>
      </c>
      <c r="F36" s="231">
        <f t="shared" si="24"/>
        <v>3754.27</v>
      </c>
      <c r="G36" s="247">
        <f>IF($C36="",0,IF(ISNA(VLOOKUP($A36&amp;"_"&amp;G$4,'2. หน้างบรายจ่าย'!$C:$K,7,0)),0,VLOOKUP($A36&amp;"_"&amp;G$4,'2. หน้างบรายจ่าย'!$C:$K,7,0)))</f>
        <v>0</v>
      </c>
      <c r="H36" s="247">
        <f>IF($C36="",0,IF(ISNA(VLOOKUP($A36&amp;"_"&amp;H$4,'2. หน้างบรายจ่าย'!$C:$K,8,0)),0,VLOOKUP($A36&amp;"_"&amp;H$4,'2. หน้างบรายจ่าย'!$C:$K,8,0)))</f>
        <v>0</v>
      </c>
      <c r="I36" s="247">
        <f>IF($C36="",0,IF(ISNA(VLOOKUP($A36&amp;"_"&amp;I$4,'2. หน้างบรายจ่าย'!$C:$K,9,0)),0,VLOOKUP($A36&amp;"_"&amp;I$4,'2. หน้างบรายจ่าย'!$C:$K,9,0)))</f>
        <v>0</v>
      </c>
      <c r="J36" s="247">
        <f>IF($C36="",0,IF(ISNA(VLOOKUP($A36&amp;"_"&amp;J$4,'2. หน้างบรายจ่าย'!$C:$K,7,0)),0,VLOOKUP($A36&amp;"_"&amp;J$4,'2. หน้างบรายจ่าย'!$C:$K,7,0)))</f>
        <v>0</v>
      </c>
      <c r="K36" s="247">
        <f>IF($C36="",0,IF(ISNA(VLOOKUP($A36&amp;"_"&amp;K$4,'2. หน้างบรายจ่าย'!$C:$K,8,0)),0,VLOOKUP($A36&amp;"_"&amp;K$4,'2. หน้างบรายจ่าย'!$C:$K,8,0)))</f>
        <v>0</v>
      </c>
      <c r="L36" s="247">
        <f>IF($C36="",0,IF(ISNA(VLOOKUP($A36&amp;"_"&amp;L$4,'2. หน้างบรายจ่าย'!$C:$K,9,0)),0,VLOOKUP($A36&amp;"_"&amp;L$4,'2. หน้างบรายจ่าย'!$C:$K,9,0)))</f>
        <v>0</v>
      </c>
      <c r="M36" s="247">
        <f>IF($C36="",0,IF(ISNA(VLOOKUP($A36&amp;"_"&amp;M$4,'2. หน้างบรายจ่าย'!$C:$K,7,0)),0,VLOOKUP($A36&amp;"_"&amp;M$4,'2. หน้างบรายจ่าย'!$C:$K,7,0)))</f>
        <v>0</v>
      </c>
      <c r="N36" s="247">
        <f>IF($C36="",0,IF(ISNA(VLOOKUP($A36&amp;"_"&amp;N$4,'2. หน้างบรายจ่าย'!$C:$K,8,0)),0,VLOOKUP($A36&amp;"_"&amp;N$4,'2. หน้างบรายจ่าย'!$C:$K,8,0)))</f>
        <v>0</v>
      </c>
      <c r="O36" s="248">
        <f>IF($C36="",0,IF(ISNA(VLOOKUP($A36&amp;"_"&amp;O$4,'2. หน้างบรายจ่าย'!$C:$K,9,0)),0,VLOOKUP($A36&amp;"_"&amp;O$4,'2. หน้างบรายจ่าย'!$C:$K,9,0)))</f>
        <v>3754.27</v>
      </c>
      <c r="P36" s="246">
        <f>IF($C36="",0,IF(ISNA(VLOOKUP($A36&amp;"_"&amp;P$4,'2. หน้างบรายจ่าย'!$C:$K,7,0)),0,VLOOKUP($A36&amp;"_"&amp;P$4,'2. หน้างบรายจ่าย'!$C:$K,7,0)))</f>
        <v>0</v>
      </c>
      <c r="Q36" s="249">
        <f>IF($C36="",0,IF(ISNA(VLOOKUP($A36&amp;"_"&amp;Q$4,'2. หน้างบรายจ่าย'!$C:$K,8,0)),0,VLOOKUP($A36&amp;"_"&amp;Q$4,'2. หน้างบรายจ่าย'!$C:$K,8,0)))</f>
        <v>0</v>
      </c>
      <c r="R36" s="247">
        <f>IF($C36="",0,IF(ISNA(VLOOKUP($A36&amp;"_"&amp;R$4,'2. หน้างบรายจ่าย'!$C:$K,9,0)),0,VLOOKUP($A36&amp;"_"&amp;R$4,'2. หน้างบรายจ่าย'!$C:$K,9,0)))</f>
        <v>0</v>
      </c>
      <c r="S36" s="247">
        <f>IF($C36="",0,IF(ISNA(VLOOKUP($A36&amp;"_"&amp;S$4,'2. หน้างบรายจ่าย'!$C:$K,7,0)),0,VLOOKUP($A36&amp;"_"&amp;S$4,'2. หน้างบรายจ่าย'!$C:$K,7,0)))</f>
        <v>0</v>
      </c>
      <c r="T36" s="247">
        <f>IF($C36="",0,IF(ISNA(VLOOKUP($A36&amp;"_"&amp;T$4,'2. หน้างบรายจ่าย'!$C:$K,8,0)),0,VLOOKUP($A36&amp;"_"&amp;T$4,'2. หน้างบรายจ่าย'!$C:$K,8,0)))</f>
        <v>0</v>
      </c>
      <c r="U36" s="247">
        <f>IF($C36="",0,IF(ISNA(VLOOKUP($A36&amp;"_"&amp;U$4,'2. หน้างบรายจ่าย'!$C:$K,9,0)),0,VLOOKUP($A36&amp;"_"&amp;U$4,'2. หน้างบรายจ่าย'!$C:$K,9,0)))</f>
        <v>0</v>
      </c>
      <c r="V36" s="247">
        <f>IF($C36="",0,IF(ISNA(VLOOKUP($A36&amp;"_"&amp;V$4,'2. หน้างบรายจ่าย'!$C:$K,7,0)),0,VLOOKUP($A36&amp;"_"&amp;V$4,'2. หน้างบรายจ่าย'!$C:$K,7,0)))</f>
        <v>0</v>
      </c>
      <c r="W36" s="247">
        <f>IF($C36="",0,IF(ISNA(VLOOKUP($A36&amp;"_"&amp;W$4,'2. หน้างบรายจ่าย'!$C:$K,8,0)),0,VLOOKUP($A36&amp;"_"&amp;W$4,'2. หน้างบรายจ่าย'!$C:$K,8,0)))</f>
        <v>0</v>
      </c>
      <c r="X36" s="247">
        <f>IF($C36="",0,IF(ISNA(VLOOKUP($A36&amp;"_"&amp;X$4,'2. หน้างบรายจ่าย'!$C:$K,9,0)),0,VLOOKUP($A36&amp;"_"&amp;X$4,'2. หน้างบรายจ่าย'!$C:$K,9,0)))</f>
        <v>0</v>
      </c>
      <c r="Y36" s="247">
        <f>IF($C36="",0,IF(ISNA(VLOOKUP($A36&amp;"_"&amp;Y$4,'2. หน้างบรายจ่าย'!$C:$K,7,0)),0,VLOOKUP($A36&amp;"_"&amp;Y$4,'2. หน้างบรายจ่าย'!$C:$K,7,0)))</f>
        <v>0</v>
      </c>
      <c r="Z36" s="247">
        <f>IF($C36="",0,IF(ISNA(VLOOKUP($A36&amp;"_"&amp;Z$4,'2. หน้างบรายจ่าย'!$C:$K,8,0)),0,VLOOKUP($A36&amp;"_"&amp;Z$4,'2. หน้างบรายจ่าย'!$C:$K,8,0)))</f>
        <v>0</v>
      </c>
      <c r="AA36" s="247">
        <f>IF($C36="",0,IF(ISNA(VLOOKUP($A36&amp;"_"&amp;AA$4,'2. หน้างบรายจ่าย'!$C:$K,9,0)),0,VLOOKUP($A36&amp;"_"&amp;AA$4,'2. หน้างบรายจ่าย'!$C:$K,9,0)))</f>
        <v>0</v>
      </c>
      <c r="AB36" s="247">
        <f>IF($C36="",0,IF(ISNA(VLOOKUP($A36&amp;"_"&amp;AB$4,'2. หน้างบรายจ่าย'!$C:$K,7,0)),0,VLOOKUP($A36&amp;"_"&amp;AB$4,'2. หน้างบรายจ่าย'!$C:$K,7,0)))</f>
        <v>0</v>
      </c>
      <c r="AC36" s="251">
        <f>IF($C36="",0,IF(ISNA(VLOOKUP($A36&amp;"_"&amp;AC$4,'2. หน้างบรายจ่าย'!$C:$K,8,0)),0,VLOOKUP($A36&amp;"_"&amp;AC$4,'2. หน้างบรายจ่าย'!$C:$K,8,0)))</f>
        <v>0</v>
      </c>
      <c r="AD36" s="248">
        <f>IF($C36="",0,IF(ISNA(VLOOKUP($A36&amp;"_"&amp;AD$4,'2. หน้างบรายจ่าย'!$C:$K,9,0)),0,VLOOKUP($A36&amp;"_"&amp;AD$4,'2. หน้างบรายจ่าย'!$C:$K,9,0)))</f>
        <v>0</v>
      </c>
      <c r="AE36" s="246">
        <f>IF($C36="",0,IF(ISNA(VLOOKUP($A36&amp;"_"&amp;AE$4,'2. หน้างบรายจ่าย'!$C:$K,7,0)),0,VLOOKUP($A36&amp;"_"&amp;AE$4,'2. หน้างบรายจ่าย'!$C:$K,7,0)))</f>
        <v>0</v>
      </c>
      <c r="AF36" s="250">
        <f>IF($C36="",0,IF(ISNA(VLOOKUP($A36&amp;"_"&amp;AF$4,'2. หน้างบรายจ่าย'!$C:$K,8,0)),0,VLOOKUP($A36&amp;"_"&amp;AF$4,'2. หน้างบรายจ่าย'!$C:$K,8,0)))</f>
        <v>0</v>
      </c>
      <c r="AG36" s="248">
        <f>IF($C36="",0,IF(ISNA(VLOOKUP($A36&amp;"_"&amp;AG$4,'2. หน้างบรายจ่าย'!$C:$K,9,0)),0,VLOOKUP($A36&amp;"_"&amp;AG$4,'2. หน้างบรายจ่าย'!$C:$K,9,0)))</f>
        <v>0</v>
      </c>
      <c r="AH36" s="249">
        <f>IF($C36="",0,IF(ISNA(VLOOKUP($A36&amp;"_"&amp;AH$4,'2. หน้างบรายจ่าย'!$C:$K,7,0)),0,VLOOKUP($A36&amp;"_"&amp;AH$4,'2. หน้างบรายจ่าย'!$C:$K,7,0)))</f>
        <v>0</v>
      </c>
      <c r="AI36" s="250">
        <f>IF($C36="",0,IF(ISNA(VLOOKUP($A36&amp;"_"&amp;AI$4,'2. หน้างบรายจ่าย'!$C:$K,8,0)),0,VLOOKUP($A36&amp;"_"&amp;AI$4,'2. หน้างบรายจ่าย'!$C:$K,8,0)))</f>
        <v>0</v>
      </c>
      <c r="AJ36" s="248">
        <f>IF($C36="",0,IF(ISNA(VLOOKUP($A36&amp;"_"&amp;AJ$4,'2. หน้างบรายจ่าย'!$C:$K,9,0)),0,VLOOKUP($A36&amp;"_"&amp;AJ$4,'2. หน้างบรายจ่าย'!$C:$K,9,0)))</f>
        <v>0</v>
      </c>
      <c r="AK36" s="249">
        <f>IF($C36="",0,IF(ISNA(VLOOKUP($A36&amp;"_"&amp;AK$4,'2. หน้างบรายจ่าย'!$C:$K,7,0)),0,VLOOKUP($A36&amp;"_"&amp;AK$4,'2. หน้างบรายจ่าย'!$C:$K,7,0)))</f>
        <v>0</v>
      </c>
      <c r="AL36" s="250">
        <f>IF($C36="",0,IF(ISNA(VLOOKUP($A36&amp;"_"&amp;AL$4,'2. หน้างบรายจ่าย'!$C:$K,8,0)),0,VLOOKUP($A36&amp;"_"&amp;AL$4,'2. หน้างบรายจ่าย'!$C:$K,8,0)))</f>
        <v>0</v>
      </c>
      <c r="AM36" s="248">
        <f>IF($C36="",0,IF(ISNA(VLOOKUP($A36&amp;"_"&amp;AM$4,'2. หน้างบรายจ่าย'!$C:$K,9,0)),0,VLOOKUP($A36&amp;"_"&amp;AM$4,'2. หน้างบรายจ่าย'!$C:$K,9,0)))</f>
        <v>0</v>
      </c>
      <c r="AP36" s="171" t="str">
        <f t="shared" si="0"/>
        <v>Yes</v>
      </c>
    </row>
    <row r="37" spans="1:42" ht="27">
      <c r="A37" s="210">
        <v>8</v>
      </c>
      <c r="B37" s="385" t="str">
        <f>IF(ISNA(VLOOKUP(A37,'2. หน้างบรายจ่าย'!$A:$K,4,0)),"",TEXT(VLOOKUP(A37,'2. หน้างบรายจ่าย'!$A:$K,4,0),"dd ดดด yy"))</f>
        <v>27 ก.พ. 69</v>
      </c>
      <c r="C37" s="335" t="str">
        <f>IF(ISNA(VLOOKUP(A37,'2. หน้างบรายจ่าย'!$A:$K,8,0)),"",VLOOKUP(A37,'2. หน้างบรายจ่าย'!$A:$K,8,0))</f>
        <v xml:space="preserve">ค่าไฟฟ้า-บ้านพักขรก.ใน ตปท.  (ผช. ผอ. สคต.) </v>
      </c>
      <c r="D37" s="274">
        <f t="shared" si="22"/>
        <v>0</v>
      </c>
      <c r="E37" s="275">
        <f t="shared" si="23"/>
        <v>0</v>
      </c>
      <c r="F37" s="274">
        <f t="shared" si="24"/>
        <v>14466.7</v>
      </c>
      <c r="G37" s="338">
        <f>IF($C37="",0,IF(ISNA(VLOOKUP($A37&amp;"_"&amp;G$4,'2. หน้างบรายจ่าย'!$C:$K,7,0)),0,VLOOKUP($A37&amp;"_"&amp;G$4,'2. หน้างบรายจ่าย'!$C:$K,7,0)))</f>
        <v>0</v>
      </c>
      <c r="H37" s="338">
        <f>IF($C37="",0,IF(ISNA(VLOOKUP($A37&amp;"_"&amp;H$4,'2. หน้างบรายจ่าย'!$C:$K,8,0)),0,VLOOKUP($A37&amp;"_"&amp;H$4,'2. หน้างบรายจ่าย'!$C:$K,8,0)))</f>
        <v>0</v>
      </c>
      <c r="I37" s="338">
        <f>IF($C37="",0,IF(ISNA(VLOOKUP($A37&amp;"_"&amp;I$4,'2. หน้างบรายจ่าย'!$C:$K,9,0)),0,VLOOKUP($A37&amp;"_"&amp;I$4,'2. หน้างบรายจ่าย'!$C:$K,9,0)))</f>
        <v>0</v>
      </c>
      <c r="J37" s="338">
        <f>IF($C37="",0,IF(ISNA(VLOOKUP($A37&amp;"_"&amp;J$4,'2. หน้างบรายจ่าย'!$C:$K,7,0)),0,VLOOKUP($A37&amp;"_"&amp;J$4,'2. หน้างบรายจ่าย'!$C:$K,7,0)))</f>
        <v>0</v>
      </c>
      <c r="K37" s="338">
        <f>IF($C37="",0,IF(ISNA(VLOOKUP($A37&amp;"_"&amp;K$4,'2. หน้างบรายจ่าย'!$C:$K,8,0)),0,VLOOKUP($A37&amp;"_"&amp;K$4,'2. หน้างบรายจ่าย'!$C:$K,8,0)))</f>
        <v>0</v>
      </c>
      <c r="L37" s="338">
        <f>IF($C37="",0,IF(ISNA(VLOOKUP($A37&amp;"_"&amp;L$4,'2. หน้างบรายจ่าย'!$C:$K,9,0)),0,VLOOKUP($A37&amp;"_"&amp;L$4,'2. หน้างบรายจ่าย'!$C:$K,9,0)))</f>
        <v>0</v>
      </c>
      <c r="M37" s="338">
        <f>IF($C37="",0,IF(ISNA(VLOOKUP($A37&amp;"_"&amp;M$4,'2. หน้างบรายจ่าย'!$C:$K,7,0)),0,VLOOKUP($A37&amp;"_"&amp;M$4,'2. หน้างบรายจ่าย'!$C:$K,7,0)))</f>
        <v>0</v>
      </c>
      <c r="N37" s="338">
        <f>IF($C37="",0,IF(ISNA(VLOOKUP($A37&amp;"_"&amp;N$4,'2. หน้างบรายจ่าย'!$C:$K,8,0)),0,VLOOKUP($A37&amp;"_"&amp;N$4,'2. หน้างบรายจ่าย'!$C:$K,8,0)))</f>
        <v>0</v>
      </c>
      <c r="O37" s="340">
        <f>IF($C37="",0,IF(ISNA(VLOOKUP($A37&amp;"_"&amp;O$4,'2. หน้างบรายจ่าย'!$C:$K,9,0)),0,VLOOKUP($A37&amp;"_"&amp;O$4,'2. หน้างบรายจ่าย'!$C:$K,9,0)))</f>
        <v>14466.7</v>
      </c>
      <c r="P37" s="337">
        <f>IF($C37="",0,IF(ISNA(VLOOKUP($A37&amp;"_"&amp;P$4,'2. หน้างบรายจ่าย'!$C:$K,7,0)),0,VLOOKUP($A37&amp;"_"&amp;P$4,'2. หน้างบรายจ่าย'!$C:$K,7,0)))</f>
        <v>0</v>
      </c>
      <c r="Q37" s="341">
        <f>IF($C37="",0,IF(ISNA(VLOOKUP($A37&amp;"_"&amp;Q$4,'2. หน้างบรายจ่าย'!$C:$K,8,0)),0,VLOOKUP($A37&amp;"_"&amp;Q$4,'2. หน้างบรายจ่าย'!$C:$K,8,0)))</f>
        <v>0</v>
      </c>
      <c r="R37" s="338">
        <f>IF($C37="",0,IF(ISNA(VLOOKUP($A37&amp;"_"&amp;R$4,'2. หน้างบรายจ่าย'!$C:$K,9,0)),0,VLOOKUP($A37&amp;"_"&amp;R$4,'2. หน้างบรายจ่าย'!$C:$K,9,0)))</f>
        <v>0</v>
      </c>
      <c r="S37" s="338">
        <f>IF($C37="",0,IF(ISNA(VLOOKUP($A37&amp;"_"&amp;S$4,'2. หน้างบรายจ่าย'!$C:$K,7,0)),0,VLOOKUP($A37&amp;"_"&amp;S$4,'2. หน้างบรายจ่าย'!$C:$K,7,0)))</f>
        <v>0</v>
      </c>
      <c r="T37" s="338">
        <f>IF($C37="",0,IF(ISNA(VLOOKUP($A37&amp;"_"&amp;T$4,'2. หน้างบรายจ่าย'!$C:$K,8,0)),0,VLOOKUP($A37&amp;"_"&amp;T$4,'2. หน้างบรายจ่าย'!$C:$K,8,0)))</f>
        <v>0</v>
      </c>
      <c r="U37" s="338">
        <f>IF($C37="",0,IF(ISNA(VLOOKUP($A37&amp;"_"&amp;U$4,'2. หน้างบรายจ่าย'!$C:$K,9,0)),0,VLOOKUP($A37&amp;"_"&amp;U$4,'2. หน้างบรายจ่าย'!$C:$K,9,0)))</f>
        <v>0</v>
      </c>
      <c r="V37" s="338">
        <f>IF($C37="",0,IF(ISNA(VLOOKUP($A37&amp;"_"&amp;V$4,'2. หน้างบรายจ่าย'!$C:$K,7,0)),0,VLOOKUP($A37&amp;"_"&amp;V$4,'2. หน้างบรายจ่าย'!$C:$K,7,0)))</f>
        <v>0</v>
      </c>
      <c r="W37" s="338">
        <f>IF($C37="",0,IF(ISNA(VLOOKUP($A37&amp;"_"&amp;W$4,'2. หน้างบรายจ่าย'!$C:$K,8,0)),0,VLOOKUP($A37&amp;"_"&amp;W$4,'2. หน้างบรายจ่าย'!$C:$K,8,0)))</f>
        <v>0</v>
      </c>
      <c r="X37" s="338">
        <f>IF($C37="",0,IF(ISNA(VLOOKUP($A37&amp;"_"&amp;X$4,'2. หน้างบรายจ่าย'!$C:$K,9,0)),0,VLOOKUP($A37&amp;"_"&amp;X$4,'2. หน้างบรายจ่าย'!$C:$K,9,0)))</f>
        <v>0</v>
      </c>
      <c r="Y37" s="338">
        <f>IF($C37="",0,IF(ISNA(VLOOKUP($A37&amp;"_"&amp;Y$4,'2. หน้างบรายจ่าย'!$C:$K,7,0)),0,VLOOKUP($A37&amp;"_"&amp;Y$4,'2. หน้างบรายจ่าย'!$C:$K,7,0)))</f>
        <v>0</v>
      </c>
      <c r="Z37" s="338">
        <f>IF($C37="",0,IF(ISNA(VLOOKUP($A37&amp;"_"&amp;Z$4,'2. หน้างบรายจ่าย'!$C:$K,8,0)),0,VLOOKUP($A37&amp;"_"&amp;Z$4,'2. หน้างบรายจ่าย'!$C:$K,8,0)))</f>
        <v>0</v>
      </c>
      <c r="AA37" s="338">
        <f>IF($C37="",0,IF(ISNA(VLOOKUP($A37&amp;"_"&amp;AA$4,'2. หน้างบรายจ่าย'!$C:$K,9,0)),0,VLOOKUP($A37&amp;"_"&amp;AA$4,'2. หน้างบรายจ่าย'!$C:$K,9,0)))</f>
        <v>0</v>
      </c>
      <c r="AB37" s="338">
        <f>IF($C37="",0,IF(ISNA(VLOOKUP($A37&amp;"_"&amp;AB$4,'2. หน้างบรายจ่าย'!$C:$K,7,0)),0,VLOOKUP($A37&amp;"_"&amp;AB$4,'2. หน้างบรายจ่าย'!$C:$K,7,0)))</f>
        <v>0</v>
      </c>
      <c r="AC37" s="339">
        <f>IF($C37="",0,IF(ISNA(VLOOKUP($A37&amp;"_"&amp;AC$4,'2. หน้างบรายจ่าย'!$C:$K,8,0)),0,VLOOKUP($A37&amp;"_"&amp;AC$4,'2. หน้างบรายจ่าย'!$C:$K,8,0)))</f>
        <v>0</v>
      </c>
      <c r="AD37" s="340">
        <f>IF($C37="",0,IF(ISNA(VLOOKUP($A37&amp;"_"&amp;AD$4,'2. หน้างบรายจ่าย'!$C:$K,9,0)),0,VLOOKUP($A37&amp;"_"&amp;AD$4,'2. หน้างบรายจ่าย'!$C:$K,9,0)))</f>
        <v>0</v>
      </c>
      <c r="AE37" s="337">
        <f>IF($C37="",0,IF(ISNA(VLOOKUP($A37&amp;"_"&amp;AE$4,'2. หน้างบรายจ่าย'!$C:$K,7,0)),0,VLOOKUP($A37&amp;"_"&amp;AE$4,'2. หน้างบรายจ่าย'!$C:$K,7,0)))</f>
        <v>0</v>
      </c>
      <c r="AF37" s="342">
        <f>IF($C37="",0,IF(ISNA(VLOOKUP($A37&amp;"_"&amp;AF$4,'2. หน้างบรายจ่าย'!$C:$K,8,0)),0,VLOOKUP($A37&amp;"_"&amp;AF$4,'2. หน้างบรายจ่าย'!$C:$K,8,0)))</f>
        <v>0</v>
      </c>
      <c r="AG37" s="340">
        <f>IF($C37="",0,IF(ISNA(VLOOKUP($A37&amp;"_"&amp;AG$4,'2. หน้างบรายจ่าย'!$C:$K,9,0)),0,VLOOKUP($A37&amp;"_"&amp;AG$4,'2. หน้างบรายจ่าย'!$C:$K,9,0)))</f>
        <v>0</v>
      </c>
      <c r="AH37" s="341">
        <f>IF($C37="",0,IF(ISNA(VLOOKUP($A37&amp;"_"&amp;AH$4,'2. หน้างบรายจ่าย'!$C:$K,7,0)),0,VLOOKUP($A37&amp;"_"&amp;AH$4,'2. หน้างบรายจ่าย'!$C:$K,7,0)))</f>
        <v>0</v>
      </c>
      <c r="AI37" s="342">
        <f>IF($C37="",0,IF(ISNA(VLOOKUP($A37&amp;"_"&amp;AI$4,'2. หน้างบรายจ่าย'!$C:$K,8,0)),0,VLOOKUP($A37&amp;"_"&amp;AI$4,'2. หน้างบรายจ่าย'!$C:$K,8,0)))</f>
        <v>0</v>
      </c>
      <c r="AJ37" s="340">
        <f>IF($C37="",0,IF(ISNA(VLOOKUP($A37&amp;"_"&amp;AJ$4,'2. หน้างบรายจ่าย'!$C:$K,9,0)),0,VLOOKUP($A37&amp;"_"&amp;AJ$4,'2. หน้างบรายจ่าย'!$C:$K,9,0)))</f>
        <v>0</v>
      </c>
      <c r="AK37" s="341">
        <f>IF($C37="",0,IF(ISNA(VLOOKUP($A37&amp;"_"&amp;AK$4,'2. หน้างบรายจ่าย'!$C:$K,7,0)),0,VLOOKUP($A37&amp;"_"&amp;AK$4,'2. หน้างบรายจ่าย'!$C:$K,7,0)))</f>
        <v>0</v>
      </c>
      <c r="AL37" s="342">
        <f>IF($C37="",0,IF(ISNA(VLOOKUP($A37&amp;"_"&amp;AL$4,'2. หน้างบรายจ่าย'!$C:$K,8,0)),0,VLOOKUP($A37&amp;"_"&amp;AL$4,'2. หน้างบรายจ่าย'!$C:$K,8,0)))</f>
        <v>0</v>
      </c>
      <c r="AM37" s="248">
        <f>IF($C37="",0,IF(ISNA(VLOOKUP($A37&amp;"_"&amp;AM$4,'2. หน้างบรายจ่าย'!$C:$K,9,0)),0,VLOOKUP($A37&amp;"_"&amp;AM$4,'2. หน้างบรายจ่าย'!$C:$K,9,0)))</f>
        <v>0</v>
      </c>
      <c r="AP37" s="171" t="str">
        <f t="shared" si="0"/>
        <v>Yes</v>
      </c>
    </row>
    <row r="38" spans="1:42" ht="27">
      <c r="A38" s="210">
        <v>9</v>
      </c>
      <c r="B38" s="385" t="str">
        <f>IF(ISNA(VLOOKUP(A38,'2. หน้างบรายจ่าย'!$A:$K,4,0)),"",TEXT(VLOOKUP(A38,'2. หน้างบรายจ่าย'!$A:$K,4,0),"dd ดดด yy"))</f>
        <v>27 ก.พ. 69</v>
      </c>
      <c r="C38" s="335" t="str">
        <f>IF(ISNA(VLOOKUP(A38,'2. หน้างบรายจ่าย'!$A:$K,8,0)),"",VLOOKUP(A38,'2. หน้างบรายจ่าย'!$A:$K,8,0))</f>
        <v>ค่าทางด่วน/ค่าผ่านทาง</v>
      </c>
      <c r="D38" s="274">
        <f t="shared" si="22"/>
        <v>0</v>
      </c>
      <c r="E38" s="275">
        <f t="shared" si="23"/>
        <v>0</v>
      </c>
      <c r="F38" s="274">
        <f t="shared" si="24"/>
        <v>500</v>
      </c>
      <c r="G38" s="338">
        <f>IF($C38="",0,IF(ISNA(VLOOKUP($A38&amp;"_"&amp;G$4,'2. หน้างบรายจ่าย'!$C:$K,7,0)),0,VLOOKUP($A38&amp;"_"&amp;G$4,'2. หน้างบรายจ่าย'!$C:$K,7,0)))</f>
        <v>0</v>
      </c>
      <c r="H38" s="338">
        <f>IF($C38="",0,IF(ISNA(VLOOKUP($A38&amp;"_"&amp;H$4,'2. หน้างบรายจ่าย'!$C:$K,8,0)),0,VLOOKUP($A38&amp;"_"&amp;H$4,'2. หน้างบรายจ่าย'!$C:$K,8,0)))</f>
        <v>0</v>
      </c>
      <c r="I38" s="338">
        <f>IF($C38="",0,IF(ISNA(VLOOKUP($A38&amp;"_"&amp;I$4,'2. หน้างบรายจ่าย'!$C:$K,9,0)),0,VLOOKUP($A38&amp;"_"&amp;I$4,'2. หน้างบรายจ่าย'!$C:$K,9,0)))</f>
        <v>0</v>
      </c>
      <c r="J38" s="338">
        <f>IF($C38="",0,IF(ISNA(VLOOKUP($A38&amp;"_"&amp;J$4,'2. หน้างบรายจ่าย'!$C:$K,7,0)),0,VLOOKUP($A38&amp;"_"&amp;J$4,'2. หน้างบรายจ่าย'!$C:$K,7,0)))</f>
        <v>0</v>
      </c>
      <c r="K38" s="338">
        <f>IF($C38="",0,IF(ISNA(VLOOKUP($A38&amp;"_"&amp;K$4,'2. หน้างบรายจ่าย'!$C:$K,8,0)),0,VLOOKUP($A38&amp;"_"&amp;K$4,'2. หน้างบรายจ่าย'!$C:$K,8,0)))</f>
        <v>0</v>
      </c>
      <c r="L38" s="338">
        <f>IF($C38="",0,IF(ISNA(VLOOKUP($A38&amp;"_"&amp;L$4,'2. หน้างบรายจ่าย'!$C:$K,9,0)),0,VLOOKUP($A38&amp;"_"&amp;L$4,'2. หน้างบรายจ่าย'!$C:$K,9,0)))</f>
        <v>0</v>
      </c>
      <c r="M38" s="338">
        <f>IF($C38="",0,IF(ISNA(VLOOKUP($A38&amp;"_"&amp;M$4,'2. หน้างบรายจ่าย'!$C:$K,7,0)),0,VLOOKUP($A38&amp;"_"&amp;M$4,'2. หน้างบรายจ่าย'!$C:$K,7,0)))</f>
        <v>0</v>
      </c>
      <c r="N38" s="338">
        <f>IF($C38="",0,IF(ISNA(VLOOKUP($A38&amp;"_"&amp;N$4,'2. หน้างบรายจ่าย'!$C:$K,8,0)),0,VLOOKUP($A38&amp;"_"&amp;N$4,'2. หน้างบรายจ่าย'!$C:$K,8,0)))</f>
        <v>0</v>
      </c>
      <c r="O38" s="340">
        <f>IF($C38="",0,IF(ISNA(VLOOKUP($A38&amp;"_"&amp;O$4,'2. หน้างบรายจ่าย'!$C:$K,9,0)),0,VLOOKUP($A38&amp;"_"&amp;O$4,'2. หน้างบรายจ่าย'!$C:$K,9,0)))</f>
        <v>0</v>
      </c>
      <c r="P38" s="337">
        <f>IF($C38="",0,IF(ISNA(VLOOKUP($A38&amp;"_"&amp;P$4,'2. หน้างบรายจ่าย'!$C:$K,7,0)),0,VLOOKUP($A38&amp;"_"&amp;P$4,'2. หน้างบรายจ่าย'!$C:$K,7,0)))</f>
        <v>0</v>
      </c>
      <c r="Q38" s="341">
        <f>IF($C38="",0,IF(ISNA(VLOOKUP($A38&amp;"_"&amp;Q$4,'2. หน้างบรายจ่าย'!$C:$K,8,0)),0,VLOOKUP($A38&amp;"_"&amp;Q$4,'2. หน้างบรายจ่าย'!$C:$K,8,0)))</f>
        <v>0</v>
      </c>
      <c r="R38" s="338">
        <f>IF($C38="",0,IF(ISNA(VLOOKUP($A38&amp;"_"&amp;R$4,'2. หน้างบรายจ่าย'!$C:$K,9,0)),0,VLOOKUP($A38&amp;"_"&amp;R$4,'2. หน้างบรายจ่าย'!$C:$K,9,0)))</f>
        <v>0</v>
      </c>
      <c r="S38" s="338">
        <f>IF($C38="",0,IF(ISNA(VLOOKUP($A38&amp;"_"&amp;S$4,'2. หน้างบรายจ่าย'!$C:$K,7,0)),0,VLOOKUP($A38&amp;"_"&amp;S$4,'2. หน้างบรายจ่าย'!$C:$K,7,0)))</f>
        <v>0</v>
      </c>
      <c r="T38" s="338">
        <f>IF($C38="",0,IF(ISNA(VLOOKUP($A38&amp;"_"&amp;T$4,'2. หน้างบรายจ่าย'!$C:$K,8,0)),0,VLOOKUP($A38&amp;"_"&amp;T$4,'2. หน้างบรายจ่าย'!$C:$K,8,0)))</f>
        <v>0</v>
      </c>
      <c r="U38" s="338">
        <f>IF($C38="",0,IF(ISNA(VLOOKUP($A38&amp;"_"&amp;U$4,'2. หน้างบรายจ่าย'!$C:$K,9,0)),0,VLOOKUP($A38&amp;"_"&amp;U$4,'2. หน้างบรายจ่าย'!$C:$K,9,0)))</f>
        <v>0</v>
      </c>
      <c r="V38" s="338">
        <f>IF($C38="",0,IF(ISNA(VLOOKUP($A38&amp;"_"&amp;V$4,'2. หน้างบรายจ่าย'!$C:$K,7,0)),0,VLOOKUP($A38&amp;"_"&amp;V$4,'2. หน้างบรายจ่าย'!$C:$K,7,0)))</f>
        <v>0</v>
      </c>
      <c r="W38" s="338">
        <f>IF($C38="",0,IF(ISNA(VLOOKUP($A38&amp;"_"&amp;W$4,'2. หน้างบรายจ่าย'!$C:$K,8,0)),0,VLOOKUP($A38&amp;"_"&amp;W$4,'2. หน้างบรายจ่าย'!$C:$K,8,0)))</f>
        <v>0</v>
      </c>
      <c r="X38" s="338">
        <f>IF($C38="",0,IF(ISNA(VLOOKUP($A38&amp;"_"&amp;X$4,'2. หน้างบรายจ่าย'!$C:$K,9,0)),0,VLOOKUP($A38&amp;"_"&amp;X$4,'2. หน้างบรายจ่าย'!$C:$K,9,0)))</f>
        <v>500</v>
      </c>
      <c r="Y38" s="338">
        <f>IF($C38="",0,IF(ISNA(VLOOKUP($A38&amp;"_"&amp;Y$4,'2. หน้างบรายจ่าย'!$C:$K,7,0)),0,VLOOKUP($A38&amp;"_"&amp;Y$4,'2. หน้างบรายจ่าย'!$C:$K,7,0)))</f>
        <v>0</v>
      </c>
      <c r="Z38" s="338">
        <f>IF($C38="",0,IF(ISNA(VLOOKUP($A38&amp;"_"&amp;Z$4,'2. หน้างบรายจ่าย'!$C:$K,8,0)),0,VLOOKUP($A38&amp;"_"&amp;Z$4,'2. หน้างบรายจ่าย'!$C:$K,8,0)))</f>
        <v>0</v>
      </c>
      <c r="AA38" s="338">
        <f>IF($C38="",0,IF(ISNA(VLOOKUP($A38&amp;"_"&amp;AA$4,'2. หน้างบรายจ่าย'!$C:$K,9,0)),0,VLOOKUP($A38&amp;"_"&amp;AA$4,'2. หน้างบรายจ่าย'!$C:$K,9,0)))</f>
        <v>0</v>
      </c>
      <c r="AB38" s="338">
        <f>IF($C38="",0,IF(ISNA(VLOOKUP($A38&amp;"_"&amp;AB$4,'2. หน้างบรายจ่าย'!$C:$K,7,0)),0,VLOOKUP($A38&amp;"_"&amp;AB$4,'2. หน้างบรายจ่าย'!$C:$K,7,0)))</f>
        <v>0</v>
      </c>
      <c r="AC38" s="339">
        <f>IF($C38="",0,IF(ISNA(VLOOKUP($A38&amp;"_"&amp;AC$4,'2. หน้างบรายจ่าย'!$C:$K,8,0)),0,VLOOKUP($A38&amp;"_"&amp;AC$4,'2. หน้างบรายจ่าย'!$C:$K,8,0)))</f>
        <v>0</v>
      </c>
      <c r="AD38" s="340">
        <f>IF($C38="",0,IF(ISNA(VLOOKUP($A38&amp;"_"&amp;AD$4,'2. หน้างบรายจ่าย'!$C:$K,9,0)),0,VLOOKUP($A38&amp;"_"&amp;AD$4,'2. หน้างบรายจ่าย'!$C:$K,9,0)))</f>
        <v>0</v>
      </c>
      <c r="AE38" s="337">
        <f>IF($C38="",0,IF(ISNA(VLOOKUP($A38&amp;"_"&amp;AE$4,'2. หน้างบรายจ่าย'!$C:$K,7,0)),0,VLOOKUP($A38&amp;"_"&amp;AE$4,'2. หน้างบรายจ่าย'!$C:$K,7,0)))</f>
        <v>0</v>
      </c>
      <c r="AF38" s="342">
        <f>IF($C38="",0,IF(ISNA(VLOOKUP($A38&amp;"_"&amp;AF$4,'2. หน้างบรายจ่าย'!$C:$K,8,0)),0,VLOOKUP($A38&amp;"_"&amp;AF$4,'2. หน้างบรายจ่าย'!$C:$K,8,0)))</f>
        <v>0</v>
      </c>
      <c r="AG38" s="340">
        <f>IF($C38="",0,IF(ISNA(VLOOKUP($A38&amp;"_"&amp;AG$4,'2. หน้างบรายจ่าย'!$C:$K,9,0)),0,VLOOKUP($A38&amp;"_"&amp;AG$4,'2. หน้างบรายจ่าย'!$C:$K,9,0)))</f>
        <v>0</v>
      </c>
      <c r="AH38" s="341">
        <f>IF($C38="",0,IF(ISNA(VLOOKUP($A38&amp;"_"&amp;AH$4,'2. หน้างบรายจ่าย'!$C:$K,7,0)),0,VLOOKUP($A38&amp;"_"&amp;AH$4,'2. หน้างบรายจ่าย'!$C:$K,7,0)))</f>
        <v>0</v>
      </c>
      <c r="AI38" s="342">
        <f>IF($C38="",0,IF(ISNA(VLOOKUP($A38&amp;"_"&amp;AI$4,'2. หน้างบรายจ่าย'!$C:$K,8,0)),0,VLOOKUP($A38&amp;"_"&amp;AI$4,'2. หน้างบรายจ่าย'!$C:$K,8,0)))</f>
        <v>0</v>
      </c>
      <c r="AJ38" s="340">
        <f>IF($C38="",0,IF(ISNA(VLOOKUP($A38&amp;"_"&amp;AJ$4,'2. หน้างบรายจ่าย'!$C:$K,9,0)),0,VLOOKUP($A38&amp;"_"&amp;AJ$4,'2. หน้างบรายจ่าย'!$C:$K,9,0)))</f>
        <v>0</v>
      </c>
      <c r="AK38" s="341">
        <f>IF($C38="",0,IF(ISNA(VLOOKUP($A38&amp;"_"&amp;AK$4,'2. หน้างบรายจ่าย'!$C:$K,7,0)),0,VLOOKUP($A38&amp;"_"&amp;AK$4,'2. หน้างบรายจ่าย'!$C:$K,7,0)))</f>
        <v>0</v>
      </c>
      <c r="AL38" s="342">
        <f>IF($C38="",0,IF(ISNA(VLOOKUP($A38&amp;"_"&amp;AL$4,'2. หน้างบรายจ่าย'!$C:$K,8,0)),0,VLOOKUP($A38&amp;"_"&amp;AL$4,'2. หน้างบรายจ่าย'!$C:$K,8,0)))</f>
        <v>0</v>
      </c>
      <c r="AM38" s="248">
        <f>IF($C38="",0,IF(ISNA(VLOOKUP($A38&amp;"_"&amp;AM$4,'2. หน้างบรายจ่าย'!$C:$K,9,0)),0,VLOOKUP($A38&amp;"_"&amp;AM$4,'2. หน้างบรายจ่าย'!$C:$K,9,0)))</f>
        <v>0</v>
      </c>
      <c r="AP38" s="171" t="str">
        <f t="shared" si="0"/>
        <v>Yes</v>
      </c>
    </row>
    <row r="39" spans="1:42" ht="25.5" customHeight="1">
      <c r="A39" s="210">
        <v>10</v>
      </c>
      <c r="B39" s="244" t="str">
        <f>IF(ISNA(VLOOKUP(A39,'2. หน้างบรายจ่าย'!$A:$K,4,0)),"",TEXT(VLOOKUP(A39,'2. หน้างบรายจ่าย'!$A:$K,4,0),"dd ดดด yy"))</f>
        <v>27 ก.พ. 69</v>
      </c>
      <c r="C39" s="245" t="str">
        <f>IF(ISNA(VLOOKUP(A39,'2. หน้างบรายจ่าย'!$A:$K,8,0)),"",VLOOKUP(A39,'2. หน้างบรายจ่าย'!$A:$K,8,0))</f>
        <v>ค่าบัตรโดยสารเครื่องบิน</v>
      </c>
      <c r="D39" s="231">
        <f t="shared" si="22"/>
        <v>0</v>
      </c>
      <c r="E39" s="232">
        <f t="shared" si="23"/>
        <v>0</v>
      </c>
      <c r="F39" s="231">
        <f t="shared" si="24"/>
        <v>39603.480000000003</v>
      </c>
      <c r="G39" s="247">
        <f>IF($C39="",0,IF(ISNA(VLOOKUP($A39&amp;"_"&amp;G$4,'2. หน้างบรายจ่าย'!$C:$K,7,0)),0,VLOOKUP($A39&amp;"_"&amp;G$4,'2. หน้างบรายจ่าย'!$C:$K,7,0)))</f>
        <v>0</v>
      </c>
      <c r="H39" s="247">
        <f>IF($C39="",0,IF(ISNA(VLOOKUP($A39&amp;"_"&amp;H$4,'2. หน้างบรายจ่าย'!$C:$K,8,0)),0,VLOOKUP($A39&amp;"_"&amp;H$4,'2. หน้างบรายจ่าย'!$C:$K,8,0)))</f>
        <v>0</v>
      </c>
      <c r="I39" s="247">
        <f>IF($C39="",0,IF(ISNA(VLOOKUP($A39&amp;"_"&amp;I$4,'2. หน้างบรายจ่าย'!$C:$K,9,0)),0,VLOOKUP($A39&amp;"_"&amp;I$4,'2. หน้างบรายจ่าย'!$C:$K,9,0)))</f>
        <v>0</v>
      </c>
      <c r="J39" s="247">
        <f>IF($C39="",0,IF(ISNA(VLOOKUP($A39&amp;"_"&amp;J$4,'2. หน้างบรายจ่าย'!$C:$K,7,0)),0,VLOOKUP($A39&amp;"_"&amp;J$4,'2. หน้างบรายจ่าย'!$C:$K,7,0)))</f>
        <v>0</v>
      </c>
      <c r="K39" s="247">
        <f>IF($C39="",0,IF(ISNA(VLOOKUP($A39&amp;"_"&amp;K$4,'2. หน้างบรายจ่าย'!$C:$K,8,0)),0,VLOOKUP($A39&amp;"_"&amp;K$4,'2. หน้างบรายจ่าย'!$C:$K,8,0)))</f>
        <v>0</v>
      </c>
      <c r="L39" s="247">
        <f>IF($C39="",0,IF(ISNA(VLOOKUP($A39&amp;"_"&amp;L$4,'2. หน้างบรายจ่าย'!$C:$K,9,0)),0,VLOOKUP($A39&amp;"_"&amp;L$4,'2. หน้างบรายจ่าย'!$C:$K,9,0)))</f>
        <v>0</v>
      </c>
      <c r="M39" s="247">
        <f>IF($C39="",0,IF(ISNA(VLOOKUP($A39&amp;"_"&amp;M$4,'2. หน้างบรายจ่าย'!$C:$K,7,0)),0,VLOOKUP($A39&amp;"_"&amp;M$4,'2. หน้างบรายจ่าย'!$C:$K,7,0)))</f>
        <v>0</v>
      </c>
      <c r="N39" s="247">
        <f>IF($C39="",0,IF(ISNA(VLOOKUP($A39&amp;"_"&amp;N$4,'2. หน้างบรายจ่าย'!$C:$K,8,0)),0,VLOOKUP($A39&amp;"_"&amp;N$4,'2. หน้างบรายจ่าย'!$C:$K,8,0)))</f>
        <v>0</v>
      </c>
      <c r="O39" s="248">
        <f>IF($C39="",0,IF(ISNA(VLOOKUP($A39&amp;"_"&amp;O$4,'2. หน้างบรายจ่าย'!$C:$K,9,0)),0,VLOOKUP($A39&amp;"_"&amp;O$4,'2. หน้างบรายจ่าย'!$C:$K,9,0)))</f>
        <v>0</v>
      </c>
      <c r="P39" s="246">
        <f>IF($C39="",0,IF(ISNA(VLOOKUP($A39&amp;"_"&amp;P$4,'2. หน้างบรายจ่าย'!$C:$K,7,0)),0,VLOOKUP($A39&amp;"_"&amp;P$4,'2. หน้างบรายจ่าย'!$C:$K,7,0)))</f>
        <v>0</v>
      </c>
      <c r="Q39" s="249">
        <f>IF($C39="",0,IF(ISNA(VLOOKUP($A39&amp;"_"&amp;Q$4,'2. หน้างบรายจ่าย'!$C:$K,8,0)),0,VLOOKUP($A39&amp;"_"&amp;Q$4,'2. หน้างบรายจ่าย'!$C:$K,8,0)))</f>
        <v>0</v>
      </c>
      <c r="R39" s="247">
        <f>IF($C39="",0,IF(ISNA(VLOOKUP($A39&amp;"_"&amp;R$4,'2. หน้างบรายจ่าย'!$C:$K,9,0)),0,VLOOKUP($A39&amp;"_"&amp;R$4,'2. หน้างบรายจ่าย'!$C:$K,9,0)))</f>
        <v>0</v>
      </c>
      <c r="S39" s="247">
        <f>IF($C39="",0,IF(ISNA(VLOOKUP($A39&amp;"_"&amp;S$4,'2. หน้างบรายจ่าย'!$C:$K,7,0)),0,VLOOKUP($A39&amp;"_"&amp;S$4,'2. หน้างบรายจ่าย'!$C:$K,7,0)))</f>
        <v>0</v>
      </c>
      <c r="T39" s="247">
        <f>IF($C39="",0,IF(ISNA(VLOOKUP($A39&amp;"_"&amp;T$4,'2. หน้างบรายจ่าย'!$C:$K,8,0)),0,VLOOKUP($A39&amp;"_"&amp;T$4,'2. หน้างบรายจ่าย'!$C:$K,8,0)))</f>
        <v>0</v>
      </c>
      <c r="U39" s="247">
        <f>IF($C39="",0,IF(ISNA(VLOOKUP($A39&amp;"_"&amp;U$4,'2. หน้างบรายจ่าย'!$C:$K,9,0)),0,VLOOKUP($A39&amp;"_"&amp;U$4,'2. หน้างบรายจ่าย'!$C:$K,9,0)))</f>
        <v>0</v>
      </c>
      <c r="V39" s="247">
        <f>IF($C39="",0,IF(ISNA(VLOOKUP($A39&amp;"_"&amp;V$4,'2. หน้างบรายจ่าย'!$C:$K,7,0)),0,VLOOKUP($A39&amp;"_"&amp;V$4,'2. หน้างบรายจ่าย'!$C:$K,7,0)))</f>
        <v>0</v>
      </c>
      <c r="W39" s="247">
        <f>IF($C39="",0,IF(ISNA(VLOOKUP($A39&amp;"_"&amp;W$4,'2. หน้างบรายจ่าย'!$C:$K,8,0)),0,VLOOKUP($A39&amp;"_"&amp;W$4,'2. หน้างบรายจ่าย'!$C:$K,8,0)))</f>
        <v>0</v>
      </c>
      <c r="X39" s="247">
        <f>IF($C39="",0,IF(ISNA(VLOOKUP($A39&amp;"_"&amp;X$4,'2. หน้างบรายจ่าย'!$C:$K,9,0)),0,VLOOKUP($A39&amp;"_"&amp;X$4,'2. หน้างบรายจ่าย'!$C:$K,9,0)))</f>
        <v>39603.480000000003</v>
      </c>
      <c r="Y39" s="247">
        <f>IF($C39="",0,IF(ISNA(VLOOKUP($A39&amp;"_"&amp;Y$4,'2. หน้างบรายจ่าย'!$C:$K,7,0)),0,VLOOKUP($A39&amp;"_"&amp;Y$4,'2. หน้างบรายจ่าย'!$C:$K,7,0)))</f>
        <v>0</v>
      </c>
      <c r="Z39" s="247">
        <f>IF($C39="",0,IF(ISNA(VLOOKUP($A39&amp;"_"&amp;Z$4,'2. หน้างบรายจ่าย'!$C:$K,8,0)),0,VLOOKUP($A39&amp;"_"&amp;Z$4,'2. หน้างบรายจ่าย'!$C:$K,8,0)))</f>
        <v>0</v>
      </c>
      <c r="AA39" s="247">
        <f>IF($C39="",0,IF(ISNA(VLOOKUP($A39&amp;"_"&amp;AA$4,'2. หน้างบรายจ่าย'!$C:$K,9,0)),0,VLOOKUP($A39&amp;"_"&amp;AA$4,'2. หน้างบรายจ่าย'!$C:$K,9,0)))</f>
        <v>0</v>
      </c>
      <c r="AB39" s="247">
        <f>IF($C39="",0,IF(ISNA(VLOOKUP($A39&amp;"_"&amp;AB$4,'2. หน้างบรายจ่าย'!$C:$K,7,0)),0,VLOOKUP($A39&amp;"_"&amp;AB$4,'2. หน้างบรายจ่าย'!$C:$K,7,0)))</f>
        <v>0</v>
      </c>
      <c r="AC39" s="251">
        <f>IF($C39="",0,IF(ISNA(VLOOKUP($A39&amp;"_"&amp;AC$4,'2. หน้างบรายจ่าย'!$C:$K,8,0)),0,VLOOKUP($A39&amp;"_"&amp;AC$4,'2. หน้างบรายจ่าย'!$C:$K,8,0)))</f>
        <v>0</v>
      </c>
      <c r="AD39" s="248">
        <f>IF($C39="",0,IF(ISNA(VLOOKUP($A39&amp;"_"&amp;AD$4,'2. หน้างบรายจ่าย'!$C:$K,9,0)),0,VLOOKUP($A39&amp;"_"&amp;AD$4,'2. หน้างบรายจ่าย'!$C:$K,9,0)))</f>
        <v>0</v>
      </c>
      <c r="AE39" s="246">
        <f>IF($C39="",0,IF(ISNA(VLOOKUP($A39&amp;"_"&amp;AE$4,'2. หน้างบรายจ่าย'!$C:$K,7,0)),0,VLOOKUP($A39&amp;"_"&amp;AE$4,'2. หน้างบรายจ่าย'!$C:$K,7,0)))</f>
        <v>0</v>
      </c>
      <c r="AF39" s="250">
        <f>IF($C39="",0,IF(ISNA(VLOOKUP($A39&amp;"_"&amp;AF$4,'2. หน้างบรายจ่าย'!$C:$K,8,0)),0,VLOOKUP($A39&amp;"_"&amp;AF$4,'2. หน้างบรายจ่าย'!$C:$K,8,0)))</f>
        <v>0</v>
      </c>
      <c r="AG39" s="248">
        <f>IF($C39="",0,IF(ISNA(VLOOKUP($A39&amp;"_"&amp;AG$4,'2. หน้างบรายจ่าย'!$C:$K,9,0)),0,VLOOKUP($A39&amp;"_"&amp;AG$4,'2. หน้างบรายจ่าย'!$C:$K,9,0)))</f>
        <v>0</v>
      </c>
      <c r="AH39" s="249">
        <f>IF($C39="",0,IF(ISNA(VLOOKUP($A39&amp;"_"&amp;AH$4,'2. หน้างบรายจ่าย'!$C:$K,7,0)),0,VLOOKUP($A39&amp;"_"&amp;AH$4,'2. หน้างบรายจ่าย'!$C:$K,7,0)))</f>
        <v>0</v>
      </c>
      <c r="AI39" s="250">
        <f>IF($C39="",0,IF(ISNA(VLOOKUP($A39&amp;"_"&amp;AI$4,'2. หน้างบรายจ่าย'!$C:$K,8,0)),0,VLOOKUP($A39&amp;"_"&amp;AI$4,'2. หน้างบรายจ่าย'!$C:$K,8,0)))</f>
        <v>0</v>
      </c>
      <c r="AJ39" s="248">
        <f>IF($C39="",0,IF(ISNA(VLOOKUP($A39&amp;"_"&amp;AJ$4,'2. หน้างบรายจ่าย'!$C:$K,9,0)),0,VLOOKUP($A39&amp;"_"&amp;AJ$4,'2. หน้างบรายจ่าย'!$C:$K,9,0)))</f>
        <v>0</v>
      </c>
      <c r="AK39" s="249">
        <f>IF($C39="",0,IF(ISNA(VLOOKUP($A39&amp;"_"&amp;AK$4,'2. หน้างบรายจ่าย'!$C:$K,7,0)),0,VLOOKUP($A39&amp;"_"&amp;AK$4,'2. หน้างบรายจ่าย'!$C:$K,7,0)))</f>
        <v>0</v>
      </c>
      <c r="AL39" s="250">
        <f>IF($C39="",0,IF(ISNA(VLOOKUP($A39&amp;"_"&amp;AL$4,'2. หน้างบรายจ่าย'!$C:$K,8,0)),0,VLOOKUP($A39&amp;"_"&amp;AL$4,'2. หน้างบรายจ่าย'!$C:$K,8,0)))</f>
        <v>0</v>
      </c>
      <c r="AM39" s="248">
        <f>IF($C39="",0,IF(ISNA(VLOOKUP($A39&amp;"_"&amp;AM$4,'2. หน้างบรายจ่าย'!$C:$K,9,0)),0,VLOOKUP($A39&amp;"_"&amp;AM$4,'2. หน้างบรายจ่าย'!$C:$K,9,0)))</f>
        <v>0</v>
      </c>
      <c r="AP39" s="171" t="str">
        <f t="shared" si="0"/>
        <v>Yes</v>
      </c>
    </row>
    <row r="40" spans="1:42" ht="25.5" customHeight="1">
      <c r="A40" s="210">
        <v>11</v>
      </c>
      <c r="B40" s="244" t="str">
        <f>IF(ISNA(VLOOKUP(A40,'2. หน้างบรายจ่าย'!$A:$K,4,0)),"",TEXT(VLOOKUP(A40,'2. หน้างบรายจ่าย'!$A:$K,4,0),"dd ดดด yy"))</f>
        <v>27 ก.พ. 69</v>
      </c>
      <c r="C40" s="245" t="str">
        <f>IF(ISNA(VLOOKUP(A40,'2. หน้างบรายจ่าย'!$A:$K,8,0)),"",VLOOKUP(A40,'2. หน้างบรายจ่าย'!$A:$K,8,0))</f>
        <v>ค่าจ้างทำความสะอาด-คชจ.ประจำ</v>
      </c>
      <c r="D40" s="231">
        <f t="shared" si="22"/>
        <v>0</v>
      </c>
      <c r="E40" s="232">
        <f t="shared" si="23"/>
        <v>0</v>
      </c>
      <c r="F40" s="231">
        <f t="shared" si="24"/>
        <v>4000</v>
      </c>
      <c r="G40" s="247">
        <f>IF($C40="",0,IF(ISNA(VLOOKUP($A40&amp;"_"&amp;G$4,'2. หน้างบรายจ่าย'!$C:$K,7,0)),0,VLOOKUP($A40&amp;"_"&amp;G$4,'2. หน้างบรายจ่าย'!$C:$K,7,0)))</f>
        <v>0</v>
      </c>
      <c r="H40" s="247">
        <f>IF($C40="",0,IF(ISNA(VLOOKUP($A40&amp;"_"&amp;H$4,'2. หน้างบรายจ่าย'!$C:$K,8,0)),0,VLOOKUP($A40&amp;"_"&amp;H$4,'2. หน้างบรายจ่าย'!$C:$K,8,0)))</f>
        <v>0</v>
      </c>
      <c r="I40" s="247">
        <f>IF($C40="",0,IF(ISNA(VLOOKUP($A40&amp;"_"&amp;I$4,'2. หน้างบรายจ่าย'!$C:$K,9,0)),0,VLOOKUP($A40&amp;"_"&amp;I$4,'2. หน้างบรายจ่าย'!$C:$K,9,0)))</f>
        <v>0</v>
      </c>
      <c r="J40" s="247">
        <f>IF($C40="",0,IF(ISNA(VLOOKUP($A40&amp;"_"&amp;J$4,'2. หน้างบรายจ่าย'!$C:$K,7,0)),0,VLOOKUP($A40&amp;"_"&amp;J$4,'2. หน้างบรายจ่าย'!$C:$K,7,0)))</f>
        <v>0</v>
      </c>
      <c r="K40" s="247">
        <f>IF($C40="",0,IF(ISNA(VLOOKUP($A40&amp;"_"&amp;K$4,'2. หน้างบรายจ่าย'!$C:$K,8,0)),0,VLOOKUP($A40&amp;"_"&amp;K$4,'2. หน้างบรายจ่าย'!$C:$K,8,0)))</f>
        <v>0</v>
      </c>
      <c r="L40" s="247">
        <f>IF($C40="",0,IF(ISNA(VLOOKUP($A40&amp;"_"&amp;L$4,'2. หน้างบรายจ่าย'!$C:$K,9,0)),0,VLOOKUP($A40&amp;"_"&amp;L$4,'2. หน้างบรายจ่าย'!$C:$K,9,0)))</f>
        <v>0</v>
      </c>
      <c r="M40" s="247">
        <f>IF($C40="",0,IF(ISNA(VLOOKUP($A40&amp;"_"&amp;M$4,'2. หน้างบรายจ่าย'!$C:$K,7,0)),0,VLOOKUP($A40&amp;"_"&amp;M$4,'2. หน้างบรายจ่าย'!$C:$K,7,0)))</f>
        <v>0</v>
      </c>
      <c r="N40" s="247">
        <f>IF($C40="",0,IF(ISNA(VLOOKUP($A40&amp;"_"&amp;N$4,'2. หน้างบรายจ่าย'!$C:$K,8,0)),0,VLOOKUP($A40&amp;"_"&amp;N$4,'2. หน้างบรายจ่าย'!$C:$K,8,0)))</f>
        <v>0</v>
      </c>
      <c r="O40" s="248">
        <f>IF($C40="",0,IF(ISNA(VLOOKUP($A40&amp;"_"&amp;O$4,'2. หน้างบรายจ่าย'!$C:$K,9,0)),0,VLOOKUP($A40&amp;"_"&amp;O$4,'2. หน้างบรายจ่าย'!$C:$K,9,0)))</f>
        <v>0</v>
      </c>
      <c r="P40" s="246">
        <f>IF($C40="",0,IF(ISNA(VLOOKUP($A40&amp;"_"&amp;P$4,'2. หน้างบรายจ่าย'!$C:$K,7,0)),0,VLOOKUP($A40&amp;"_"&amp;P$4,'2. หน้างบรายจ่าย'!$C:$K,7,0)))</f>
        <v>0</v>
      </c>
      <c r="Q40" s="249">
        <f>IF($C40="",0,IF(ISNA(VLOOKUP($A40&amp;"_"&amp;Q$4,'2. หน้างบรายจ่าย'!$C:$K,8,0)),0,VLOOKUP($A40&amp;"_"&amp;Q$4,'2. หน้างบรายจ่าย'!$C:$K,8,0)))</f>
        <v>0</v>
      </c>
      <c r="R40" s="247">
        <f>IF($C40="",0,IF(ISNA(VLOOKUP($A40&amp;"_"&amp;R$4,'2. หน้างบรายจ่าย'!$C:$K,9,0)),0,VLOOKUP($A40&amp;"_"&amp;R$4,'2. หน้างบรายจ่าย'!$C:$K,9,0)))</f>
        <v>0</v>
      </c>
      <c r="S40" s="247">
        <f>IF($C40="",0,IF(ISNA(VLOOKUP($A40&amp;"_"&amp;S$4,'2. หน้างบรายจ่าย'!$C:$K,7,0)),0,VLOOKUP($A40&amp;"_"&amp;S$4,'2. หน้างบรายจ่าย'!$C:$K,7,0)))</f>
        <v>0</v>
      </c>
      <c r="T40" s="247">
        <f>IF($C40="",0,IF(ISNA(VLOOKUP($A40&amp;"_"&amp;T$4,'2. หน้างบรายจ่าย'!$C:$K,8,0)),0,VLOOKUP($A40&amp;"_"&amp;T$4,'2. หน้างบรายจ่าย'!$C:$K,8,0)))</f>
        <v>0</v>
      </c>
      <c r="U40" s="247">
        <f>IF($C40="",0,IF(ISNA(VLOOKUP($A40&amp;"_"&amp;U$4,'2. หน้างบรายจ่าย'!$C:$K,9,0)),0,VLOOKUP($A40&amp;"_"&amp;U$4,'2. หน้างบรายจ่าย'!$C:$K,9,0)))</f>
        <v>0</v>
      </c>
      <c r="V40" s="247">
        <f>IF($C40="",0,IF(ISNA(VLOOKUP($A40&amp;"_"&amp;V$4,'2. หน้างบรายจ่าย'!$C:$K,7,0)),0,VLOOKUP($A40&amp;"_"&amp;V$4,'2. หน้างบรายจ่าย'!$C:$K,7,0)))</f>
        <v>0</v>
      </c>
      <c r="W40" s="247">
        <f>IF($C40="",0,IF(ISNA(VLOOKUP($A40&amp;"_"&amp;W$4,'2. หน้างบรายจ่าย'!$C:$K,8,0)),0,VLOOKUP($A40&amp;"_"&amp;W$4,'2. หน้างบรายจ่าย'!$C:$K,8,0)))</f>
        <v>0</v>
      </c>
      <c r="X40" s="247">
        <f>IF($C40="",0,IF(ISNA(VLOOKUP($A40&amp;"_"&amp;X$4,'2. หน้างบรายจ่าย'!$C:$K,9,0)),0,VLOOKUP($A40&amp;"_"&amp;X$4,'2. หน้างบรายจ่าย'!$C:$K,9,0)))</f>
        <v>4000</v>
      </c>
      <c r="Y40" s="247">
        <f>IF($C40="",0,IF(ISNA(VLOOKUP($A40&amp;"_"&amp;Y$4,'2. หน้างบรายจ่าย'!$C:$K,7,0)),0,VLOOKUP($A40&amp;"_"&amp;Y$4,'2. หน้างบรายจ่าย'!$C:$K,7,0)))</f>
        <v>0</v>
      </c>
      <c r="Z40" s="247">
        <f>IF($C40="",0,IF(ISNA(VLOOKUP($A40&amp;"_"&amp;Z$4,'2. หน้างบรายจ่าย'!$C:$K,8,0)),0,VLOOKUP($A40&amp;"_"&amp;Z$4,'2. หน้างบรายจ่าย'!$C:$K,8,0)))</f>
        <v>0</v>
      </c>
      <c r="AA40" s="247">
        <f>IF($C40="",0,IF(ISNA(VLOOKUP($A40&amp;"_"&amp;AA$4,'2. หน้างบรายจ่าย'!$C:$K,9,0)),0,VLOOKUP($A40&amp;"_"&amp;AA$4,'2. หน้างบรายจ่าย'!$C:$K,9,0)))</f>
        <v>0</v>
      </c>
      <c r="AB40" s="247">
        <f>IF($C40="",0,IF(ISNA(VLOOKUP($A40&amp;"_"&amp;AB$4,'2. หน้างบรายจ่าย'!$C:$K,7,0)),0,VLOOKUP($A40&amp;"_"&amp;AB$4,'2. หน้างบรายจ่าย'!$C:$K,7,0)))</f>
        <v>0</v>
      </c>
      <c r="AC40" s="251">
        <f>IF($C40="",0,IF(ISNA(VLOOKUP($A40&amp;"_"&amp;AC$4,'2. หน้างบรายจ่าย'!$C:$K,8,0)),0,VLOOKUP($A40&amp;"_"&amp;AC$4,'2. หน้างบรายจ่าย'!$C:$K,8,0)))</f>
        <v>0</v>
      </c>
      <c r="AD40" s="248">
        <f>IF($C40="",0,IF(ISNA(VLOOKUP($A40&amp;"_"&amp;AD$4,'2. หน้างบรายจ่าย'!$C:$K,9,0)),0,VLOOKUP($A40&amp;"_"&amp;AD$4,'2. หน้างบรายจ่าย'!$C:$K,9,0)))</f>
        <v>0</v>
      </c>
      <c r="AE40" s="246">
        <f>IF($C40="",0,IF(ISNA(VLOOKUP($A40&amp;"_"&amp;AE$4,'2. หน้างบรายจ่าย'!$C:$K,7,0)),0,VLOOKUP($A40&amp;"_"&amp;AE$4,'2. หน้างบรายจ่าย'!$C:$K,7,0)))</f>
        <v>0</v>
      </c>
      <c r="AF40" s="250">
        <f>IF($C40="",0,IF(ISNA(VLOOKUP($A40&amp;"_"&amp;AF$4,'2. หน้างบรายจ่าย'!$C:$K,8,0)),0,VLOOKUP($A40&amp;"_"&amp;AF$4,'2. หน้างบรายจ่าย'!$C:$K,8,0)))</f>
        <v>0</v>
      </c>
      <c r="AG40" s="248">
        <f>IF($C40="",0,IF(ISNA(VLOOKUP($A40&amp;"_"&amp;AG$4,'2. หน้างบรายจ่าย'!$C:$K,9,0)),0,VLOOKUP($A40&amp;"_"&amp;AG$4,'2. หน้างบรายจ่าย'!$C:$K,9,0)))</f>
        <v>0</v>
      </c>
      <c r="AH40" s="249">
        <f>IF($C40="",0,IF(ISNA(VLOOKUP($A40&amp;"_"&amp;AH$4,'2. หน้างบรายจ่าย'!$C:$K,7,0)),0,VLOOKUP($A40&amp;"_"&amp;AH$4,'2. หน้างบรายจ่าย'!$C:$K,7,0)))</f>
        <v>0</v>
      </c>
      <c r="AI40" s="250">
        <f>IF($C40="",0,IF(ISNA(VLOOKUP($A40&amp;"_"&amp;AI$4,'2. หน้างบรายจ่าย'!$C:$K,8,0)),0,VLOOKUP($A40&amp;"_"&amp;AI$4,'2. หน้างบรายจ่าย'!$C:$K,8,0)))</f>
        <v>0</v>
      </c>
      <c r="AJ40" s="248">
        <f>IF($C40="",0,IF(ISNA(VLOOKUP($A40&amp;"_"&amp;AJ$4,'2. หน้างบรายจ่าย'!$C:$K,9,0)),0,VLOOKUP($A40&amp;"_"&amp;AJ$4,'2. หน้างบรายจ่าย'!$C:$K,9,0)))</f>
        <v>0</v>
      </c>
      <c r="AK40" s="249">
        <f>IF($C40="",0,IF(ISNA(VLOOKUP($A40&amp;"_"&amp;AK$4,'2. หน้างบรายจ่าย'!$C:$K,7,0)),0,VLOOKUP($A40&amp;"_"&amp;AK$4,'2. หน้างบรายจ่าย'!$C:$K,7,0)))</f>
        <v>0</v>
      </c>
      <c r="AL40" s="250">
        <f>IF($C40="",0,IF(ISNA(VLOOKUP($A40&amp;"_"&amp;AL$4,'2. หน้างบรายจ่าย'!$C:$K,8,0)),0,VLOOKUP($A40&amp;"_"&amp;AL$4,'2. หน้างบรายจ่าย'!$C:$K,8,0)))</f>
        <v>0</v>
      </c>
      <c r="AM40" s="248">
        <f>IF($C40="",0,IF(ISNA(VLOOKUP($A40&amp;"_"&amp;AM$4,'2. หน้างบรายจ่าย'!$C:$K,9,0)),0,VLOOKUP($A40&amp;"_"&amp;AM$4,'2. หน้างบรายจ่าย'!$C:$K,9,0)))</f>
        <v>0</v>
      </c>
      <c r="AP40" s="171" t="str">
        <f t="shared" si="0"/>
        <v>Yes</v>
      </c>
    </row>
    <row r="41" spans="1:42" ht="25.5" customHeight="1">
      <c r="A41" s="210">
        <v>12</v>
      </c>
      <c r="B41" s="244" t="str">
        <f>IF(ISNA(VLOOKUP(A41,'2. หน้างบรายจ่าย'!$A:$K,4,0)),"",TEXT(VLOOKUP(A41,'2. หน้างบรายจ่าย'!$A:$K,4,0),"dd ดดด yy"))</f>
        <v>5 ก.พ. 69</v>
      </c>
      <c r="C41" s="245" t="str">
        <f>IF(ISNA(VLOOKUP(A41,'2. หน้างบรายจ่าย'!$A:$K,8,0)),"",VLOOKUP(A41,'2. หน้างบรายจ่าย'!$A:$K,8,0))</f>
        <v>ค่าวัสดุหนังสือพิมพ์/วารสาร/ตำรา/คู่มือ</v>
      </c>
      <c r="D41" s="231">
        <f t="shared" si="22"/>
        <v>0</v>
      </c>
      <c r="E41" s="232">
        <f t="shared" si="23"/>
        <v>0</v>
      </c>
      <c r="F41" s="231">
        <f t="shared" si="24"/>
        <v>1505</v>
      </c>
      <c r="G41" s="247">
        <f>IF($C41="",0,IF(ISNA(VLOOKUP($A41&amp;"_"&amp;G$4,'2. หน้างบรายจ่าย'!$C:$K,7,0)),0,VLOOKUP($A41&amp;"_"&amp;G$4,'2. หน้างบรายจ่าย'!$C:$K,7,0)))</f>
        <v>0</v>
      </c>
      <c r="H41" s="247">
        <f>IF($C41="",0,IF(ISNA(VLOOKUP($A41&amp;"_"&amp;H$4,'2. หน้างบรายจ่าย'!$C:$K,8,0)),0,VLOOKUP($A41&amp;"_"&amp;H$4,'2. หน้างบรายจ่าย'!$C:$K,8,0)))</f>
        <v>0</v>
      </c>
      <c r="I41" s="247">
        <f>IF($C41="",0,IF(ISNA(VLOOKUP($A41&amp;"_"&amp;I$4,'2. หน้างบรายจ่าย'!$C:$K,9,0)),0,VLOOKUP($A41&amp;"_"&amp;I$4,'2. หน้างบรายจ่าย'!$C:$K,9,0)))</f>
        <v>0</v>
      </c>
      <c r="J41" s="247">
        <f>IF($C41="",0,IF(ISNA(VLOOKUP($A41&amp;"_"&amp;J$4,'2. หน้างบรายจ่าย'!$C:$K,7,0)),0,VLOOKUP($A41&amp;"_"&amp;J$4,'2. หน้างบรายจ่าย'!$C:$K,7,0)))</f>
        <v>0</v>
      </c>
      <c r="K41" s="247">
        <f>IF($C41="",0,IF(ISNA(VLOOKUP($A41&amp;"_"&amp;K$4,'2. หน้างบรายจ่าย'!$C:$K,8,0)),0,VLOOKUP($A41&amp;"_"&amp;K$4,'2. หน้างบรายจ่าย'!$C:$K,8,0)))</f>
        <v>0</v>
      </c>
      <c r="L41" s="247">
        <f>IF($C41="",0,IF(ISNA(VLOOKUP($A41&amp;"_"&amp;L$4,'2. หน้างบรายจ่าย'!$C:$K,9,0)),0,VLOOKUP($A41&amp;"_"&amp;L$4,'2. หน้างบรายจ่าย'!$C:$K,9,0)))</f>
        <v>0</v>
      </c>
      <c r="M41" s="247">
        <f>IF($C41="",0,IF(ISNA(VLOOKUP($A41&amp;"_"&amp;M$4,'2. หน้างบรายจ่าย'!$C:$K,7,0)),0,VLOOKUP($A41&amp;"_"&amp;M$4,'2. หน้างบรายจ่าย'!$C:$K,7,0)))</f>
        <v>0</v>
      </c>
      <c r="N41" s="247">
        <f>IF($C41="",0,IF(ISNA(VLOOKUP($A41&amp;"_"&amp;N$4,'2. หน้างบรายจ่าย'!$C:$K,8,0)),0,VLOOKUP($A41&amp;"_"&amp;N$4,'2. หน้างบรายจ่าย'!$C:$K,8,0)))</f>
        <v>0</v>
      </c>
      <c r="O41" s="248">
        <f>IF($C41="",0,IF(ISNA(VLOOKUP($A41&amp;"_"&amp;O$4,'2. หน้างบรายจ่าย'!$C:$K,9,0)),0,VLOOKUP($A41&amp;"_"&amp;O$4,'2. หน้างบรายจ่าย'!$C:$K,9,0)))</f>
        <v>0</v>
      </c>
      <c r="P41" s="246">
        <f>IF($C41="",0,IF(ISNA(VLOOKUP($A41&amp;"_"&amp;P$4,'2. หน้างบรายจ่าย'!$C:$K,7,0)),0,VLOOKUP($A41&amp;"_"&amp;P$4,'2. หน้างบรายจ่าย'!$C:$K,7,0)))</f>
        <v>0</v>
      </c>
      <c r="Q41" s="249">
        <f>IF($C41="",0,IF(ISNA(VLOOKUP($A41&amp;"_"&amp;Q$4,'2. หน้างบรายจ่าย'!$C:$K,8,0)),0,VLOOKUP($A41&amp;"_"&amp;Q$4,'2. หน้างบรายจ่าย'!$C:$K,8,0)))</f>
        <v>0</v>
      </c>
      <c r="R41" s="247">
        <f>IF($C41="",0,IF(ISNA(VLOOKUP($A41&amp;"_"&amp;R$4,'2. หน้างบรายจ่าย'!$C:$K,9,0)),0,VLOOKUP($A41&amp;"_"&amp;R$4,'2. หน้างบรายจ่าย'!$C:$K,9,0)))</f>
        <v>0</v>
      </c>
      <c r="S41" s="247">
        <f>IF($C41="",0,IF(ISNA(VLOOKUP($A41&amp;"_"&amp;S$4,'2. หน้างบรายจ่าย'!$C:$K,7,0)),0,VLOOKUP($A41&amp;"_"&amp;S$4,'2. หน้างบรายจ่าย'!$C:$K,7,0)))</f>
        <v>0</v>
      </c>
      <c r="T41" s="247">
        <f>IF($C41="",0,IF(ISNA(VLOOKUP($A41&amp;"_"&amp;T$4,'2. หน้างบรายจ่าย'!$C:$K,8,0)),0,VLOOKUP($A41&amp;"_"&amp;T$4,'2. หน้างบรายจ่าย'!$C:$K,8,0)))</f>
        <v>0</v>
      </c>
      <c r="U41" s="247">
        <f>IF($C41="",0,IF(ISNA(VLOOKUP($A41&amp;"_"&amp;U$4,'2. หน้างบรายจ่าย'!$C:$K,9,0)),0,VLOOKUP($A41&amp;"_"&amp;U$4,'2. หน้างบรายจ่าย'!$C:$K,9,0)))</f>
        <v>0</v>
      </c>
      <c r="V41" s="247">
        <f>IF($C41="",0,IF(ISNA(VLOOKUP($A41&amp;"_"&amp;V$4,'2. หน้างบรายจ่าย'!$C:$K,7,0)),0,VLOOKUP($A41&amp;"_"&amp;V$4,'2. หน้างบรายจ่าย'!$C:$K,7,0)))</f>
        <v>0</v>
      </c>
      <c r="W41" s="247">
        <f>IF($C41="",0,IF(ISNA(VLOOKUP($A41&amp;"_"&amp;W$4,'2. หน้างบรายจ่าย'!$C:$K,8,0)),0,VLOOKUP($A41&amp;"_"&amp;W$4,'2. หน้างบรายจ่าย'!$C:$K,8,0)))</f>
        <v>0</v>
      </c>
      <c r="X41" s="247">
        <f>IF($C41="",0,IF(ISNA(VLOOKUP($A41&amp;"_"&amp;X$4,'2. หน้างบรายจ่าย'!$C:$K,9,0)),0,VLOOKUP($A41&amp;"_"&amp;X$4,'2. หน้างบรายจ่าย'!$C:$K,9,0)))</f>
        <v>0</v>
      </c>
      <c r="Y41" s="247">
        <f>IF($C41="",0,IF(ISNA(VLOOKUP($A41&amp;"_"&amp;Y$4,'2. หน้างบรายจ่าย'!$C:$K,7,0)),0,VLOOKUP($A41&amp;"_"&amp;Y$4,'2. หน้างบรายจ่าย'!$C:$K,7,0)))</f>
        <v>0</v>
      </c>
      <c r="Z41" s="247">
        <f>IF($C41="",0,IF(ISNA(VLOOKUP($A41&amp;"_"&amp;Z$4,'2. หน้างบรายจ่าย'!$C:$K,8,0)),0,VLOOKUP($A41&amp;"_"&amp;Z$4,'2. หน้างบรายจ่าย'!$C:$K,8,0)))</f>
        <v>0</v>
      </c>
      <c r="AA41" s="247">
        <f>IF($C41="",0,IF(ISNA(VLOOKUP($A41&amp;"_"&amp;AA$4,'2. หน้างบรายจ่าย'!$C:$K,9,0)),0,VLOOKUP($A41&amp;"_"&amp;AA$4,'2. หน้างบรายจ่าย'!$C:$K,9,0)))</f>
        <v>1505</v>
      </c>
      <c r="AB41" s="247">
        <f>IF($C41="",0,IF(ISNA(VLOOKUP($A41&amp;"_"&amp;AB$4,'2. หน้างบรายจ่าย'!$C:$K,7,0)),0,VLOOKUP($A41&amp;"_"&amp;AB$4,'2. หน้างบรายจ่าย'!$C:$K,7,0)))</f>
        <v>0</v>
      </c>
      <c r="AC41" s="251">
        <f>IF($C41="",0,IF(ISNA(VLOOKUP($A41&amp;"_"&amp;AC$4,'2. หน้างบรายจ่าย'!$C:$K,8,0)),0,VLOOKUP($A41&amp;"_"&amp;AC$4,'2. หน้างบรายจ่าย'!$C:$K,8,0)))</f>
        <v>0</v>
      </c>
      <c r="AD41" s="248">
        <f>IF($C41="",0,IF(ISNA(VLOOKUP($A41&amp;"_"&amp;AD$4,'2. หน้างบรายจ่าย'!$C:$K,9,0)),0,VLOOKUP($A41&amp;"_"&amp;AD$4,'2. หน้างบรายจ่าย'!$C:$K,9,0)))</f>
        <v>0</v>
      </c>
      <c r="AE41" s="246">
        <f>IF($C41="",0,IF(ISNA(VLOOKUP($A41&amp;"_"&amp;AE$4,'2. หน้างบรายจ่าย'!$C:$K,7,0)),0,VLOOKUP($A41&amp;"_"&amp;AE$4,'2. หน้างบรายจ่าย'!$C:$K,7,0)))</f>
        <v>0</v>
      </c>
      <c r="AF41" s="250">
        <f>IF($C41="",0,IF(ISNA(VLOOKUP($A41&amp;"_"&amp;AF$4,'2. หน้างบรายจ่าย'!$C:$K,8,0)),0,VLOOKUP($A41&amp;"_"&amp;AF$4,'2. หน้างบรายจ่าย'!$C:$K,8,0)))</f>
        <v>0</v>
      </c>
      <c r="AG41" s="248">
        <f>IF($C41="",0,IF(ISNA(VLOOKUP($A41&amp;"_"&amp;AG$4,'2. หน้างบรายจ่าย'!$C:$K,9,0)),0,VLOOKUP($A41&amp;"_"&amp;AG$4,'2. หน้างบรายจ่าย'!$C:$K,9,0)))</f>
        <v>0</v>
      </c>
      <c r="AH41" s="249">
        <f>IF($C41="",0,IF(ISNA(VLOOKUP($A41&amp;"_"&amp;AH$4,'2. หน้างบรายจ่าย'!$C:$K,7,0)),0,VLOOKUP($A41&amp;"_"&amp;AH$4,'2. หน้างบรายจ่าย'!$C:$K,7,0)))</f>
        <v>0</v>
      </c>
      <c r="AI41" s="250">
        <f>IF($C41="",0,IF(ISNA(VLOOKUP($A41&amp;"_"&amp;AI$4,'2. หน้างบรายจ่าย'!$C:$K,8,0)),0,VLOOKUP($A41&amp;"_"&amp;AI$4,'2. หน้างบรายจ่าย'!$C:$K,8,0)))</f>
        <v>0</v>
      </c>
      <c r="AJ41" s="248">
        <f>IF($C41="",0,IF(ISNA(VLOOKUP($A41&amp;"_"&amp;AJ$4,'2. หน้างบรายจ่าย'!$C:$K,9,0)),0,VLOOKUP($A41&amp;"_"&amp;AJ$4,'2. หน้างบรายจ่าย'!$C:$K,9,0)))</f>
        <v>0</v>
      </c>
      <c r="AK41" s="249">
        <f>IF($C41="",0,IF(ISNA(VLOOKUP($A41&amp;"_"&amp;AK$4,'2. หน้างบรายจ่าย'!$C:$K,7,0)),0,VLOOKUP($A41&amp;"_"&amp;AK$4,'2. หน้างบรายจ่าย'!$C:$K,7,0)))</f>
        <v>0</v>
      </c>
      <c r="AL41" s="250">
        <f>IF($C41="",0,IF(ISNA(VLOOKUP($A41&amp;"_"&amp;AL$4,'2. หน้างบรายจ่าย'!$C:$K,8,0)),0,VLOOKUP($A41&amp;"_"&amp;AL$4,'2. หน้างบรายจ่าย'!$C:$K,8,0)))</f>
        <v>0</v>
      </c>
      <c r="AM41" s="248">
        <f>IF($C41="",0,IF(ISNA(VLOOKUP($A41&amp;"_"&amp;AM$4,'2. หน้างบรายจ่าย'!$C:$K,9,0)),0,VLOOKUP($A41&amp;"_"&amp;AM$4,'2. หน้างบรายจ่าย'!$C:$K,9,0)))</f>
        <v>0</v>
      </c>
      <c r="AP41" s="171" t="str">
        <f t="shared" ref="AP41:AP92" si="25">IF(AO41&lt;&gt;"",AO41,IF(C41&lt;&gt;"","Yes","No"))</f>
        <v>Yes</v>
      </c>
    </row>
    <row r="42" spans="1:42" ht="25.5" customHeight="1">
      <c r="A42" s="210">
        <v>13</v>
      </c>
      <c r="B42" s="244" t="str">
        <f>IF(ISNA(VLOOKUP(A42,'2. หน้างบรายจ่าย'!$A:$K,4,0)),"",TEXT(VLOOKUP(A42,'2. หน้างบรายจ่าย'!$A:$K,4,0),"dd ดดด yy"))</f>
        <v>10 ก.พ. 69</v>
      </c>
      <c r="C42" s="245" t="str">
        <f>IF(ISNA(VLOOKUP(A42,'2. หน้างบรายจ่าย'!$A:$K,8,0)),"",VLOOKUP(A42,'2. หน้างบรายจ่าย'!$A:$K,8,0))</f>
        <v>ค่าวัสดุงานบ้านงานครัว (น้ำดื่มเพื่อรับรองแขก)-คชจ.ประจำ</v>
      </c>
      <c r="D42" s="231">
        <f t="shared" si="22"/>
        <v>0</v>
      </c>
      <c r="E42" s="232">
        <f t="shared" si="23"/>
        <v>0</v>
      </c>
      <c r="F42" s="231">
        <f t="shared" si="24"/>
        <v>1840</v>
      </c>
      <c r="G42" s="247">
        <f>IF($C42="",0,IF(ISNA(VLOOKUP($A42&amp;"_"&amp;G$4,'2. หน้างบรายจ่าย'!$C:$K,7,0)),0,VLOOKUP($A42&amp;"_"&amp;G$4,'2. หน้างบรายจ่าย'!$C:$K,7,0)))</f>
        <v>0</v>
      </c>
      <c r="H42" s="247">
        <f>IF($C42="",0,IF(ISNA(VLOOKUP($A42&amp;"_"&amp;H$4,'2. หน้างบรายจ่าย'!$C:$K,8,0)),0,VLOOKUP($A42&amp;"_"&amp;H$4,'2. หน้างบรายจ่าย'!$C:$K,8,0)))</f>
        <v>0</v>
      </c>
      <c r="I42" s="247">
        <f>IF($C42="",0,IF(ISNA(VLOOKUP($A42&amp;"_"&amp;I$4,'2. หน้างบรายจ่าย'!$C:$K,9,0)),0,VLOOKUP($A42&amp;"_"&amp;I$4,'2. หน้างบรายจ่าย'!$C:$K,9,0)))</f>
        <v>0</v>
      </c>
      <c r="J42" s="247">
        <f>IF($C42="",0,IF(ISNA(VLOOKUP($A42&amp;"_"&amp;J$4,'2. หน้างบรายจ่าย'!$C:$K,7,0)),0,VLOOKUP($A42&amp;"_"&amp;J$4,'2. หน้างบรายจ่าย'!$C:$K,7,0)))</f>
        <v>0</v>
      </c>
      <c r="K42" s="247">
        <f>IF($C42="",0,IF(ISNA(VLOOKUP($A42&amp;"_"&amp;K$4,'2. หน้างบรายจ่าย'!$C:$K,8,0)),0,VLOOKUP($A42&amp;"_"&amp;K$4,'2. หน้างบรายจ่าย'!$C:$K,8,0)))</f>
        <v>0</v>
      </c>
      <c r="L42" s="247">
        <f>IF($C42="",0,IF(ISNA(VLOOKUP($A42&amp;"_"&amp;L$4,'2. หน้างบรายจ่าย'!$C:$K,9,0)),0,VLOOKUP($A42&amp;"_"&amp;L$4,'2. หน้างบรายจ่าย'!$C:$K,9,0)))</f>
        <v>0</v>
      </c>
      <c r="M42" s="247">
        <f>IF($C42="",0,IF(ISNA(VLOOKUP($A42&amp;"_"&amp;M$4,'2. หน้างบรายจ่าย'!$C:$K,7,0)),0,VLOOKUP($A42&amp;"_"&amp;M$4,'2. หน้างบรายจ่าย'!$C:$K,7,0)))</f>
        <v>0</v>
      </c>
      <c r="N42" s="247">
        <f>IF($C42="",0,IF(ISNA(VLOOKUP($A42&amp;"_"&amp;N$4,'2. หน้างบรายจ่าย'!$C:$K,8,0)),0,VLOOKUP($A42&amp;"_"&amp;N$4,'2. หน้างบรายจ่าย'!$C:$K,8,0)))</f>
        <v>0</v>
      </c>
      <c r="O42" s="248">
        <f>IF($C42="",0,IF(ISNA(VLOOKUP($A42&amp;"_"&amp;O$4,'2. หน้างบรายจ่าย'!$C:$K,9,0)),0,VLOOKUP($A42&amp;"_"&amp;O$4,'2. หน้างบรายจ่าย'!$C:$K,9,0)))</f>
        <v>0</v>
      </c>
      <c r="P42" s="246">
        <f>IF($C42="",0,IF(ISNA(VLOOKUP($A42&amp;"_"&amp;P$4,'2. หน้างบรายจ่าย'!$C:$K,7,0)),0,VLOOKUP($A42&amp;"_"&amp;P$4,'2. หน้างบรายจ่าย'!$C:$K,7,0)))</f>
        <v>0</v>
      </c>
      <c r="Q42" s="249">
        <f>IF($C42="",0,IF(ISNA(VLOOKUP($A42&amp;"_"&amp;Q$4,'2. หน้างบรายจ่าย'!$C:$K,8,0)),0,VLOOKUP($A42&amp;"_"&amp;Q$4,'2. หน้างบรายจ่าย'!$C:$K,8,0)))</f>
        <v>0</v>
      </c>
      <c r="R42" s="247">
        <f>IF($C42="",0,IF(ISNA(VLOOKUP($A42&amp;"_"&amp;R$4,'2. หน้างบรายจ่าย'!$C:$K,9,0)),0,VLOOKUP($A42&amp;"_"&amp;R$4,'2. หน้างบรายจ่าย'!$C:$K,9,0)))</f>
        <v>0</v>
      </c>
      <c r="S42" s="247">
        <f>IF($C42="",0,IF(ISNA(VLOOKUP($A42&amp;"_"&amp;S$4,'2. หน้างบรายจ่าย'!$C:$K,7,0)),0,VLOOKUP($A42&amp;"_"&amp;S$4,'2. หน้างบรายจ่าย'!$C:$K,7,0)))</f>
        <v>0</v>
      </c>
      <c r="T42" s="247">
        <f>IF($C42="",0,IF(ISNA(VLOOKUP($A42&amp;"_"&amp;T$4,'2. หน้างบรายจ่าย'!$C:$K,8,0)),0,VLOOKUP($A42&amp;"_"&amp;T$4,'2. หน้างบรายจ่าย'!$C:$K,8,0)))</f>
        <v>0</v>
      </c>
      <c r="U42" s="247">
        <f>IF($C42="",0,IF(ISNA(VLOOKUP($A42&amp;"_"&amp;U$4,'2. หน้างบรายจ่าย'!$C:$K,9,0)),0,VLOOKUP($A42&amp;"_"&amp;U$4,'2. หน้างบรายจ่าย'!$C:$K,9,0)))</f>
        <v>0</v>
      </c>
      <c r="V42" s="247">
        <f>IF($C42="",0,IF(ISNA(VLOOKUP($A42&amp;"_"&amp;V$4,'2. หน้างบรายจ่าย'!$C:$K,7,0)),0,VLOOKUP($A42&amp;"_"&amp;V$4,'2. หน้างบรายจ่าย'!$C:$K,7,0)))</f>
        <v>0</v>
      </c>
      <c r="W42" s="247">
        <f>IF($C42="",0,IF(ISNA(VLOOKUP($A42&amp;"_"&amp;W$4,'2. หน้างบรายจ่าย'!$C:$K,8,0)),0,VLOOKUP($A42&amp;"_"&amp;W$4,'2. หน้างบรายจ่าย'!$C:$K,8,0)))</f>
        <v>0</v>
      </c>
      <c r="X42" s="247">
        <f>IF($C42="",0,IF(ISNA(VLOOKUP($A42&amp;"_"&amp;X$4,'2. หน้างบรายจ่าย'!$C:$K,9,0)),0,VLOOKUP($A42&amp;"_"&amp;X$4,'2. หน้างบรายจ่าย'!$C:$K,9,0)))</f>
        <v>0</v>
      </c>
      <c r="Y42" s="247">
        <f>IF($C42="",0,IF(ISNA(VLOOKUP($A42&amp;"_"&amp;Y$4,'2. หน้างบรายจ่าย'!$C:$K,7,0)),0,VLOOKUP($A42&amp;"_"&amp;Y$4,'2. หน้างบรายจ่าย'!$C:$K,7,0)))</f>
        <v>0</v>
      </c>
      <c r="Z42" s="247">
        <f>IF($C42="",0,IF(ISNA(VLOOKUP($A42&amp;"_"&amp;Z$4,'2. หน้างบรายจ่าย'!$C:$K,8,0)),0,VLOOKUP($A42&amp;"_"&amp;Z$4,'2. หน้างบรายจ่าย'!$C:$K,8,0)))</f>
        <v>0</v>
      </c>
      <c r="AA42" s="247">
        <f>IF($C42="",0,IF(ISNA(VLOOKUP($A42&amp;"_"&amp;AA$4,'2. หน้างบรายจ่าย'!$C:$K,9,0)),0,VLOOKUP($A42&amp;"_"&amp;AA$4,'2. หน้างบรายจ่าย'!$C:$K,9,0)))</f>
        <v>1840</v>
      </c>
      <c r="AB42" s="247">
        <f>IF($C42="",0,IF(ISNA(VLOOKUP($A42&amp;"_"&amp;AB$4,'2. หน้างบรายจ่าย'!$C:$K,7,0)),0,VLOOKUP($A42&amp;"_"&amp;AB$4,'2. หน้างบรายจ่าย'!$C:$K,7,0)))</f>
        <v>0</v>
      </c>
      <c r="AC42" s="251">
        <f>IF($C42="",0,IF(ISNA(VLOOKUP($A42&amp;"_"&amp;AC$4,'2. หน้างบรายจ่าย'!$C:$K,8,0)),0,VLOOKUP($A42&amp;"_"&amp;AC$4,'2. หน้างบรายจ่าย'!$C:$K,8,0)))</f>
        <v>0</v>
      </c>
      <c r="AD42" s="248">
        <f>IF($C42="",0,IF(ISNA(VLOOKUP($A42&amp;"_"&amp;AD$4,'2. หน้างบรายจ่าย'!$C:$K,9,0)),0,VLOOKUP($A42&amp;"_"&amp;AD$4,'2. หน้างบรายจ่าย'!$C:$K,9,0)))</f>
        <v>0</v>
      </c>
      <c r="AE42" s="246">
        <f>IF($C42="",0,IF(ISNA(VLOOKUP($A42&amp;"_"&amp;AE$4,'2. หน้างบรายจ่าย'!$C:$K,7,0)),0,VLOOKUP($A42&amp;"_"&amp;AE$4,'2. หน้างบรายจ่าย'!$C:$K,7,0)))</f>
        <v>0</v>
      </c>
      <c r="AF42" s="250">
        <f>IF($C42="",0,IF(ISNA(VLOOKUP($A42&amp;"_"&amp;AF$4,'2. หน้างบรายจ่าย'!$C:$K,8,0)),0,VLOOKUP($A42&amp;"_"&amp;AF$4,'2. หน้างบรายจ่าย'!$C:$K,8,0)))</f>
        <v>0</v>
      </c>
      <c r="AG42" s="248">
        <f>IF($C42="",0,IF(ISNA(VLOOKUP($A42&amp;"_"&amp;AG$4,'2. หน้างบรายจ่าย'!$C:$K,9,0)),0,VLOOKUP($A42&amp;"_"&amp;AG$4,'2. หน้างบรายจ่าย'!$C:$K,9,0)))</f>
        <v>0</v>
      </c>
      <c r="AH42" s="249">
        <f>IF($C42="",0,IF(ISNA(VLOOKUP($A42&amp;"_"&amp;AH$4,'2. หน้างบรายจ่าย'!$C:$K,7,0)),0,VLOOKUP($A42&amp;"_"&amp;AH$4,'2. หน้างบรายจ่าย'!$C:$K,7,0)))</f>
        <v>0</v>
      </c>
      <c r="AI42" s="250">
        <f>IF($C42="",0,IF(ISNA(VLOOKUP($A42&amp;"_"&amp;AI$4,'2. หน้างบรายจ่าย'!$C:$K,8,0)),0,VLOOKUP($A42&amp;"_"&amp;AI$4,'2. หน้างบรายจ่าย'!$C:$K,8,0)))</f>
        <v>0</v>
      </c>
      <c r="AJ42" s="248">
        <f>IF($C42="",0,IF(ISNA(VLOOKUP($A42&amp;"_"&amp;AJ$4,'2. หน้างบรายจ่าย'!$C:$K,9,0)),0,VLOOKUP($A42&amp;"_"&amp;AJ$4,'2. หน้างบรายจ่าย'!$C:$K,9,0)))</f>
        <v>0</v>
      </c>
      <c r="AK42" s="249">
        <f>IF($C42="",0,IF(ISNA(VLOOKUP($A42&amp;"_"&amp;AK$4,'2. หน้างบรายจ่าย'!$C:$K,7,0)),0,VLOOKUP($A42&amp;"_"&amp;AK$4,'2. หน้างบรายจ่าย'!$C:$K,7,0)))</f>
        <v>0</v>
      </c>
      <c r="AL42" s="250">
        <f>IF($C42="",0,IF(ISNA(VLOOKUP($A42&amp;"_"&amp;AL$4,'2. หน้างบรายจ่าย'!$C:$K,8,0)),0,VLOOKUP($A42&amp;"_"&amp;AL$4,'2. หน้างบรายจ่าย'!$C:$K,8,0)))</f>
        <v>0</v>
      </c>
      <c r="AM42" s="248">
        <f>IF($C42="",0,IF(ISNA(VLOOKUP($A42&amp;"_"&amp;AM$4,'2. หน้างบรายจ่าย'!$C:$K,9,0)),0,VLOOKUP($A42&amp;"_"&amp;AM$4,'2. หน้างบรายจ่าย'!$C:$K,9,0)))</f>
        <v>0</v>
      </c>
      <c r="AP42" s="171" t="str">
        <f t="shared" si="25"/>
        <v>Yes</v>
      </c>
    </row>
    <row r="43" spans="1:42" ht="25.5" customHeight="1">
      <c r="A43" s="210">
        <v>14</v>
      </c>
      <c r="B43" s="336" t="str">
        <f>IF(ISNA(VLOOKUP(A43,'2. หน้างบรายจ่าย'!$A:$K,4,0)),"",TEXT(VLOOKUP(A43,'2. หน้างบรายจ่าย'!$A:$K,4,0),"dd ดดด yy"))</f>
        <v>27 ก.พ. 69</v>
      </c>
      <c r="C43" s="364" t="str">
        <f>IF(ISNA(VLOOKUP(A43,'2. หน้างบรายจ่าย'!$A:$K,8,0)),"",VLOOKUP(A43,'2. หน้างบรายจ่าย'!$A:$K,8,0))</f>
        <v>ค่าวัสดุเชื้อเพลิง-คชจ.ประจำ</v>
      </c>
      <c r="D43" s="274">
        <f t="shared" si="22"/>
        <v>0</v>
      </c>
      <c r="E43" s="275">
        <f t="shared" si="23"/>
        <v>0</v>
      </c>
      <c r="F43" s="274">
        <f t="shared" si="24"/>
        <v>2500</v>
      </c>
      <c r="G43" s="338">
        <f>IF($C43="",0,IF(ISNA(VLOOKUP($A43&amp;"_"&amp;G$4,'2. หน้างบรายจ่าย'!$C:$K,7,0)),0,VLOOKUP($A43&amp;"_"&amp;G$4,'2. หน้างบรายจ่าย'!$C:$K,7,0)))</f>
        <v>0</v>
      </c>
      <c r="H43" s="338">
        <f>IF($C43="",0,IF(ISNA(VLOOKUP($A43&amp;"_"&amp;H$4,'2. หน้างบรายจ่าย'!$C:$K,8,0)),0,VLOOKUP($A43&amp;"_"&amp;H$4,'2. หน้างบรายจ่าย'!$C:$K,8,0)))</f>
        <v>0</v>
      </c>
      <c r="I43" s="338">
        <f>IF($C43="",0,IF(ISNA(VLOOKUP($A43&amp;"_"&amp;I$4,'2. หน้างบรายจ่าย'!$C:$K,9,0)),0,VLOOKUP($A43&amp;"_"&amp;I$4,'2. หน้างบรายจ่าย'!$C:$K,9,0)))</f>
        <v>0</v>
      </c>
      <c r="J43" s="338">
        <f>IF($C43="",0,IF(ISNA(VLOOKUP($A43&amp;"_"&amp;J$4,'2. หน้างบรายจ่าย'!$C:$K,7,0)),0,VLOOKUP($A43&amp;"_"&amp;J$4,'2. หน้างบรายจ่าย'!$C:$K,7,0)))</f>
        <v>0</v>
      </c>
      <c r="K43" s="338">
        <f>IF($C43="",0,IF(ISNA(VLOOKUP($A43&amp;"_"&amp;K$4,'2. หน้างบรายจ่าย'!$C:$K,8,0)),0,VLOOKUP($A43&amp;"_"&amp;K$4,'2. หน้างบรายจ่าย'!$C:$K,8,0)))</f>
        <v>0</v>
      </c>
      <c r="L43" s="338">
        <f>IF($C43="",0,IF(ISNA(VLOOKUP($A43&amp;"_"&amp;L$4,'2. หน้างบรายจ่าย'!$C:$K,9,0)),0,VLOOKUP($A43&amp;"_"&amp;L$4,'2. หน้างบรายจ่าย'!$C:$K,9,0)))</f>
        <v>0</v>
      </c>
      <c r="M43" s="338">
        <f>IF($C43="",0,IF(ISNA(VLOOKUP($A43&amp;"_"&amp;M$4,'2. หน้างบรายจ่าย'!$C:$K,7,0)),0,VLOOKUP($A43&amp;"_"&amp;M$4,'2. หน้างบรายจ่าย'!$C:$K,7,0)))</f>
        <v>0</v>
      </c>
      <c r="N43" s="338">
        <f>IF($C43="",0,IF(ISNA(VLOOKUP($A43&amp;"_"&amp;N$4,'2. หน้างบรายจ่าย'!$C:$K,8,0)),0,VLOOKUP($A43&amp;"_"&amp;N$4,'2. หน้างบรายจ่าย'!$C:$K,8,0)))</f>
        <v>0</v>
      </c>
      <c r="O43" s="340">
        <f>IF($C43="",0,IF(ISNA(VLOOKUP($A43&amp;"_"&amp;O$4,'2. หน้างบรายจ่าย'!$C:$K,9,0)),0,VLOOKUP($A43&amp;"_"&amp;O$4,'2. หน้างบรายจ่าย'!$C:$K,9,0)))</f>
        <v>0</v>
      </c>
      <c r="P43" s="337">
        <f>IF($C43="",0,IF(ISNA(VLOOKUP($A43&amp;"_"&amp;P$4,'2. หน้างบรายจ่าย'!$C:$K,7,0)),0,VLOOKUP($A43&amp;"_"&amp;P$4,'2. หน้างบรายจ่าย'!$C:$K,7,0)))</f>
        <v>0</v>
      </c>
      <c r="Q43" s="341">
        <f>IF($C43="",0,IF(ISNA(VLOOKUP($A43&amp;"_"&amp;Q$4,'2. หน้างบรายจ่าย'!$C:$K,8,0)),0,VLOOKUP($A43&amp;"_"&amp;Q$4,'2. หน้างบรายจ่าย'!$C:$K,8,0)))</f>
        <v>0</v>
      </c>
      <c r="R43" s="338">
        <f>IF($C43="",0,IF(ISNA(VLOOKUP($A43&amp;"_"&amp;R$4,'2. หน้างบรายจ่าย'!$C:$K,9,0)),0,VLOOKUP($A43&amp;"_"&amp;R$4,'2. หน้างบรายจ่าย'!$C:$K,9,0)))</f>
        <v>0</v>
      </c>
      <c r="S43" s="338">
        <f>IF($C43="",0,IF(ISNA(VLOOKUP($A43&amp;"_"&amp;S$4,'2. หน้างบรายจ่าย'!$C:$K,7,0)),0,VLOOKUP($A43&amp;"_"&amp;S$4,'2. หน้างบรายจ่าย'!$C:$K,7,0)))</f>
        <v>0</v>
      </c>
      <c r="T43" s="338">
        <f>IF($C43="",0,IF(ISNA(VLOOKUP($A43&amp;"_"&amp;T$4,'2. หน้างบรายจ่าย'!$C:$K,8,0)),0,VLOOKUP($A43&amp;"_"&amp;T$4,'2. หน้างบรายจ่าย'!$C:$K,8,0)))</f>
        <v>0</v>
      </c>
      <c r="U43" s="338">
        <f>IF($C43="",0,IF(ISNA(VLOOKUP($A43&amp;"_"&amp;U$4,'2. หน้างบรายจ่าย'!$C:$K,9,0)),0,VLOOKUP($A43&amp;"_"&amp;U$4,'2. หน้างบรายจ่าย'!$C:$K,9,0)))</f>
        <v>0</v>
      </c>
      <c r="V43" s="338">
        <f>IF($C43="",0,IF(ISNA(VLOOKUP($A43&amp;"_"&amp;V$4,'2. หน้างบรายจ่าย'!$C:$K,7,0)),0,VLOOKUP($A43&amp;"_"&amp;V$4,'2. หน้างบรายจ่าย'!$C:$K,7,0)))</f>
        <v>0</v>
      </c>
      <c r="W43" s="338">
        <f>IF($C43="",0,IF(ISNA(VLOOKUP($A43&amp;"_"&amp;W$4,'2. หน้างบรายจ่าย'!$C:$K,8,0)),0,VLOOKUP($A43&amp;"_"&amp;W$4,'2. หน้างบรายจ่าย'!$C:$K,8,0)))</f>
        <v>0</v>
      </c>
      <c r="X43" s="338">
        <f>IF($C43="",0,IF(ISNA(VLOOKUP($A43&amp;"_"&amp;X$4,'2. หน้างบรายจ่าย'!$C:$K,9,0)),0,VLOOKUP($A43&amp;"_"&amp;X$4,'2. หน้างบรายจ่าย'!$C:$K,9,0)))</f>
        <v>0</v>
      </c>
      <c r="Y43" s="338">
        <f>IF($C43="",0,IF(ISNA(VLOOKUP($A43&amp;"_"&amp;Y$4,'2. หน้างบรายจ่าย'!$C:$K,7,0)),0,VLOOKUP($A43&amp;"_"&amp;Y$4,'2. หน้างบรายจ่าย'!$C:$K,7,0)))</f>
        <v>0</v>
      </c>
      <c r="Z43" s="338">
        <f>IF($C43="",0,IF(ISNA(VLOOKUP($A43&amp;"_"&amp;Z$4,'2. หน้างบรายจ่าย'!$C:$K,8,0)),0,VLOOKUP($A43&amp;"_"&amp;Z$4,'2. หน้างบรายจ่าย'!$C:$K,8,0)))</f>
        <v>0</v>
      </c>
      <c r="AA43" s="338">
        <f>IF($C43="",0,IF(ISNA(VLOOKUP($A43&amp;"_"&amp;AA$4,'2. หน้างบรายจ่าย'!$C:$K,9,0)),0,VLOOKUP($A43&amp;"_"&amp;AA$4,'2. หน้างบรายจ่าย'!$C:$K,9,0)))</f>
        <v>2500</v>
      </c>
      <c r="AB43" s="338">
        <f>IF($C43="",0,IF(ISNA(VLOOKUP($A43&amp;"_"&amp;AB$4,'2. หน้างบรายจ่าย'!$C:$K,7,0)),0,VLOOKUP($A43&amp;"_"&amp;AB$4,'2. หน้างบรายจ่าย'!$C:$K,7,0)))</f>
        <v>0</v>
      </c>
      <c r="AC43" s="339">
        <f>IF($C43="",0,IF(ISNA(VLOOKUP($A43&amp;"_"&amp;AC$4,'2. หน้างบรายจ่าย'!$C:$K,8,0)),0,VLOOKUP($A43&amp;"_"&amp;AC$4,'2. หน้างบรายจ่าย'!$C:$K,8,0)))</f>
        <v>0</v>
      </c>
      <c r="AD43" s="340">
        <f>IF($C43="",0,IF(ISNA(VLOOKUP($A43&amp;"_"&amp;AD$4,'2. หน้างบรายจ่าย'!$C:$K,9,0)),0,VLOOKUP($A43&amp;"_"&amp;AD$4,'2. หน้างบรายจ่าย'!$C:$K,9,0)))</f>
        <v>0</v>
      </c>
      <c r="AE43" s="337">
        <f>IF($C43="",0,IF(ISNA(VLOOKUP($A43&amp;"_"&amp;AE$4,'2. หน้างบรายจ่าย'!$C:$K,7,0)),0,VLOOKUP($A43&amp;"_"&amp;AE$4,'2. หน้างบรายจ่าย'!$C:$K,7,0)))</f>
        <v>0</v>
      </c>
      <c r="AF43" s="342">
        <f>IF($C43="",0,IF(ISNA(VLOOKUP($A43&amp;"_"&amp;AF$4,'2. หน้างบรายจ่าย'!$C:$K,8,0)),0,VLOOKUP($A43&amp;"_"&amp;AF$4,'2. หน้างบรายจ่าย'!$C:$K,8,0)))</f>
        <v>0</v>
      </c>
      <c r="AG43" s="340">
        <f>IF($C43="",0,IF(ISNA(VLOOKUP($A43&amp;"_"&amp;AG$4,'2. หน้างบรายจ่าย'!$C:$K,9,0)),0,VLOOKUP($A43&amp;"_"&amp;AG$4,'2. หน้างบรายจ่าย'!$C:$K,9,0)))</f>
        <v>0</v>
      </c>
      <c r="AH43" s="341">
        <f>IF($C43="",0,IF(ISNA(VLOOKUP($A43&amp;"_"&amp;AH$4,'2. หน้างบรายจ่าย'!$C:$K,7,0)),0,VLOOKUP($A43&amp;"_"&amp;AH$4,'2. หน้างบรายจ่าย'!$C:$K,7,0)))</f>
        <v>0</v>
      </c>
      <c r="AI43" s="342">
        <f>IF($C43="",0,IF(ISNA(VLOOKUP($A43&amp;"_"&amp;AI$4,'2. หน้างบรายจ่าย'!$C:$K,8,0)),0,VLOOKUP($A43&amp;"_"&amp;AI$4,'2. หน้างบรายจ่าย'!$C:$K,8,0)))</f>
        <v>0</v>
      </c>
      <c r="AJ43" s="340">
        <f>IF($C43="",0,IF(ISNA(VLOOKUP($A43&amp;"_"&amp;AJ$4,'2. หน้างบรายจ่าย'!$C:$K,9,0)),0,VLOOKUP($A43&amp;"_"&amp;AJ$4,'2. หน้างบรายจ่าย'!$C:$K,9,0)))</f>
        <v>0</v>
      </c>
      <c r="AK43" s="341">
        <f>IF($C43="",0,IF(ISNA(VLOOKUP($A43&amp;"_"&amp;AK$4,'2. หน้างบรายจ่าย'!$C:$K,7,0)),0,VLOOKUP($A43&amp;"_"&amp;AK$4,'2. หน้างบรายจ่าย'!$C:$K,7,0)))</f>
        <v>0</v>
      </c>
      <c r="AL43" s="342">
        <f>IF($C43="",0,IF(ISNA(VLOOKUP($A43&amp;"_"&amp;AL$4,'2. หน้างบรายจ่าย'!$C:$K,8,0)),0,VLOOKUP($A43&amp;"_"&amp;AL$4,'2. หน้างบรายจ่าย'!$C:$K,8,0)))</f>
        <v>0</v>
      </c>
      <c r="AM43" s="340">
        <f>IF($C43="",0,IF(ISNA(VLOOKUP($A43&amp;"_"&amp;AM$4,'2. หน้างบรายจ่าย'!$C:$K,9,0)),0,VLOOKUP($A43&amp;"_"&amp;AM$4,'2. หน้างบรายจ่าย'!$C:$K,9,0)))</f>
        <v>0</v>
      </c>
      <c r="AP43" s="171" t="str">
        <f t="shared" si="25"/>
        <v>Yes</v>
      </c>
    </row>
    <row r="44" spans="1:42" ht="25.5" customHeight="1">
      <c r="A44" s="210">
        <v>15</v>
      </c>
      <c r="B44" s="336" t="str">
        <f>IF(ISNA(VLOOKUP(A44,'2. หน้างบรายจ่าย'!$A:$K,4,0)),"",TEXT(VLOOKUP(A44,'2. หน้างบรายจ่าย'!$A:$K,4,0),"dd ดดด yy"))</f>
        <v>10 ก.พ. 69</v>
      </c>
      <c r="C44" s="335" t="str">
        <f>IF(ISNA(VLOOKUP(A44,'2. หน้างบรายจ่าย'!$A:$K,8,0)),"",VLOOKUP(A44,'2. หน้างบรายจ่าย'!$A:$K,8,0))</f>
        <v>ค่าโทรศัพท์-คชจ.ประจำ</v>
      </c>
      <c r="D44" s="274">
        <f t="shared" si="22"/>
        <v>0</v>
      </c>
      <c r="E44" s="275">
        <f t="shared" si="23"/>
        <v>0</v>
      </c>
      <c r="F44" s="274">
        <f t="shared" si="24"/>
        <v>7286.36</v>
      </c>
      <c r="G44" s="338">
        <f>IF($C44="",0,IF(ISNA(VLOOKUP($A44&amp;"_"&amp;G$4,'2. หน้างบรายจ่าย'!$C:$K,7,0)),0,VLOOKUP($A44&amp;"_"&amp;G$4,'2. หน้างบรายจ่าย'!$C:$K,7,0)))</f>
        <v>0</v>
      </c>
      <c r="H44" s="338">
        <f>IF($C44="",0,IF(ISNA(VLOOKUP($A44&amp;"_"&amp;H$4,'2. หน้างบรายจ่าย'!$C:$K,8,0)),0,VLOOKUP($A44&amp;"_"&amp;H$4,'2. หน้างบรายจ่าย'!$C:$K,8,0)))</f>
        <v>0</v>
      </c>
      <c r="I44" s="338">
        <f>IF($C44="",0,IF(ISNA(VLOOKUP($A44&amp;"_"&amp;I$4,'2. หน้างบรายจ่าย'!$C:$K,9,0)),0,VLOOKUP($A44&amp;"_"&amp;I$4,'2. หน้างบรายจ่าย'!$C:$K,9,0)))</f>
        <v>0</v>
      </c>
      <c r="J44" s="338">
        <f>IF($C44="",0,IF(ISNA(VLOOKUP($A44&amp;"_"&amp;J$4,'2. หน้างบรายจ่าย'!$C:$K,7,0)),0,VLOOKUP($A44&amp;"_"&amp;J$4,'2. หน้างบรายจ่าย'!$C:$K,7,0)))</f>
        <v>0</v>
      </c>
      <c r="K44" s="338">
        <f>IF($C44="",0,IF(ISNA(VLOOKUP($A44&amp;"_"&amp;K$4,'2. หน้างบรายจ่าย'!$C:$K,8,0)),0,VLOOKUP($A44&amp;"_"&amp;K$4,'2. หน้างบรายจ่าย'!$C:$K,8,0)))</f>
        <v>0</v>
      </c>
      <c r="L44" s="338">
        <f>IF($C44="",0,IF(ISNA(VLOOKUP($A44&amp;"_"&amp;L$4,'2. หน้างบรายจ่าย'!$C:$K,9,0)),0,VLOOKUP($A44&amp;"_"&amp;L$4,'2. หน้างบรายจ่าย'!$C:$K,9,0)))</f>
        <v>0</v>
      </c>
      <c r="M44" s="338">
        <f>IF($C44="",0,IF(ISNA(VLOOKUP($A44&amp;"_"&amp;M$4,'2. หน้างบรายจ่าย'!$C:$K,7,0)),0,VLOOKUP($A44&amp;"_"&amp;M$4,'2. หน้างบรายจ่าย'!$C:$K,7,0)))</f>
        <v>0</v>
      </c>
      <c r="N44" s="338">
        <f>IF($C44="",0,IF(ISNA(VLOOKUP($A44&amp;"_"&amp;N$4,'2. หน้างบรายจ่าย'!$C:$K,8,0)),0,VLOOKUP($A44&amp;"_"&amp;N$4,'2. หน้างบรายจ่าย'!$C:$K,8,0)))</f>
        <v>0</v>
      </c>
      <c r="O44" s="340">
        <f>IF($C44="",0,IF(ISNA(VLOOKUP($A44&amp;"_"&amp;O$4,'2. หน้างบรายจ่าย'!$C:$K,9,0)),0,VLOOKUP($A44&amp;"_"&amp;O$4,'2. หน้างบรายจ่าย'!$C:$K,9,0)))</f>
        <v>0</v>
      </c>
      <c r="P44" s="337">
        <f>IF($C44="",0,IF(ISNA(VLOOKUP($A44&amp;"_"&amp;P$4,'2. หน้างบรายจ่าย'!$C:$K,7,0)),0,VLOOKUP($A44&amp;"_"&amp;P$4,'2. หน้างบรายจ่าย'!$C:$K,7,0)))</f>
        <v>0</v>
      </c>
      <c r="Q44" s="341">
        <f>IF($C44="",0,IF(ISNA(VLOOKUP($A44&amp;"_"&amp;Q$4,'2. หน้างบรายจ่าย'!$C:$K,8,0)),0,VLOOKUP($A44&amp;"_"&amp;Q$4,'2. หน้างบรายจ่าย'!$C:$K,8,0)))</f>
        <v>0</v>
      </c>
      <c r="R44" s="338">
        <f>IF($C44="",0,IF(ISNA(VLOOKUP($A44&amp;"_"&amp;R$4,'2. หน้างบรายจ่าย'!$C:$K,9,0)),0,VLOOKUP($A44&amp;"_"&amp;R$4,'2. หน้างบรายจ่าย'!$C:$K,9,0)))</f>
        <v>0</v>
      </c>
      <c r="S44" s="338">
        <f>IF($C44="",0,IF(ISNA(VLOOKUP($A44&amp;"_"&amp;S$4,'2. หน้างบรายจ่าย'!$C:$K,7,0)),0,VLOOKUP($A44&amp;"_"&amp;S$4,'2. หน้างบรายจ่าย'!$C:$K,7,0)))</f>
        <v>0</v>
      </c>
      <c r="T44" s="338">
        <f>IF($C44="",0,IF(ISNA(VLOOKUP($A44&amp;"_"&amp;T$4,'2. หน้างบรายจ่าย'!$C:$K,8,0)),0,VLOOKUP($A44&amp;"_"&amp;T$4,'2. หน้างบรายจ่าย'!$C:$K,8,0)))</f>
        <v>0</v>
      </c>
      <c r="U44" s="338">
        <f>IF($C44="",0,IF(ISNA(VLOOKUP($A44&amp;"_"&amp;U$4,'2. หน้างบรายจ่าย'!$C:$K,9,0)),0,VLOOKUP($A44&amp;"_"&amp;U$4,'2. หน้างบรายจ่าย'!$C:$K,9,0)))</f>
        <v>0</v>
      </c>
      <c r="V44" s="338">
        <f>IF($C44="",0,IF(ISNA(VLOOKUP($A44&amp;"_"&amp;V$4,'2. หน้างบรายจ่าย'!$C:$K,7,0)),0,VLOOKUP($A44&amp;"_"&amp;V$4,'2. หน้างบรายจ่าย'!$C:$K,7,0)))</f>
        <v>0</v>
      </c>
      <c r="W44" s="338">
        <f>IF($C44="",0,IF(ISNA(VLOOKUP($A44&amp;"_"&amp;W$4,'2. หน้างบรายจ่าย'!$C:$K,8,0)),0,VLOOKUP($A44&amp;"_"&amp;W$4,'2. หน้างบรายจ่าย'!$C:$K,8,0)))</f>
        <v>0</v>
      </c>
      <c r="X44" s="338">
        <f>IF($C44="",0,IF(ISNA(VLOOKUP($A44&amp;"_"&amp;X$4,'2. หน้างบรายจ่าย'!$C:$K,9,0)),0,VLOOKUP($A44&amp;"_"&amp;X$4,'2. หน้างบรายจ่าย'!$C:$K,9,0)))</f>
        <v>0</v>
      </c>
      <c r="Y44" s="338">
        <f>IF($C44="",0,IF(ISNA(VLOOKUP($A44&amp;"_"&amp;Y$4,'2. หน้างบรายจ่าย'!$C:$K,7,0)),0,VLOOKUP($A44&amp;"_"&amp;Y$4,'2. หน้างบรายจ่าย'!$C:$K,7,0)))</f>
        <v>0</v>
      </c>
      <c r="Z44" s="338">
        <f>IF($C44="",0,IF(ISNA(VLOOKUP($A44&amp;"_"&amp;Z$4,'2. หน้างบรายจ่าย'!$C:$K,8,0)),0,VLOOKUP($A44&amp;"_"&amp;Z$4,'2. หน้างบรายจ่าย'!$C:$K,8,0)))</f>
        <v>0</v>
      </c>
      <c r="AA44" s="338">
        <f>IF($C44="",0,IF(ISNA(VLOOKUP($A44&amp;"_"&amp;AA$4,'2. หน้างบรายจ่าย'!$C:$K,9,0)),0,VLOOKUP($A44&amp;"_"&amp;AA$4,'2. หน้างบรายจ่าย'!$C:$K,9,0)))</f>
        <v>0</v>
      </c>
      <c r="AB44" s="338">
        <f>IF($C44="",0,IF(ISNA(VLOOKUP($A44&amp;"_"&amp;AB$4,'2. หน้างบรายจ่าย'!$C:$K,7,0)),0,VLOOKUP($A44&amp;"_"&amp;AB$4,'2. หน้างบรายจ่าย'!$C:$K,7,0)))</f>
        <v>0</v>
      </c>
      <c r="AC44" s="339">
        <f>IF($C44="",0,IF(ISNA(VLOOKUP($A44&amp;"_"&amp;AC$4,'2. หน้างบรายจ่าย'!$C:$K,8,0)),0,VLOOKUP($A44&amp;"_"&amp;AC$4,'2. หน้างบรายจ่าย'!$C:$K,8,0)))</f>
        <v>0</v>
      </c>
      <c r="AD44" s="340">
        <f>IF($C44="",0,IF(ISNA(VLOOKUP($A44&amp;"_"&amp;AD$4,'2. หน้างบรายจ่าย'!$C:$K,9,0)),0,VLOOKUP($A44&amp;"_"&amp;AD$4,'2. หน้างบรายจ่าย'!$C:$K,9,0)))</f>
        <v>7286.36</v>
      </c>
      <c r="AE44" s="337">
        <f>IF($C44="",0,IF(ISNA(VLOOKUP($A44&amp;"_"&amp;AE$4,'2. หน้างบรายจ่าย'!$C:$K,7,0)),0,VLOOKUP($A44&amp;"_"&amp;AE$4,'2. หน้างบรายจ่าย'!$C:$K,7,0)))</f>
        <v>0</v>
      </c>
      <c r="AF44" s="342">
        <f>IF($C44="",0,IF(ISNA(VLOOKUP($A44&amp;"_"&amp;AF$4,'2. หน้างบรายจ่าย'!$C:$K,8,0)),0,VLOOKUP($A44&amp;"_"&amp;AF$4,'2. หน้างบรายจ่าย'!$C:$K,8,0)))</f>
        <v>0</v>
      </c>
      <c r="AG44" s="340">
        <f>IF($C44="",0,IF(ISNA(VLOOKUP($A44&amp;"_"&amp;AG$4,'2. หน้างบรายจ่าย'!$C:$K,9,0)),0,VLOOKUP($A44&amp;"_"&amp;AG$4,'2. หน้างบรายจ่าย'!$C:$K,9,0)))</f>
        <v>0</v>
      </c>
      <c r="AH44" s="341">
        <f>IF($C44="",0,IF(ISNA(VLOOKUP($A44&amp;"_"&amp;AH$4,'2. หน้างบรายจ่าย'!$C:$K,7,0)),0,VLOOKUP($A44&amp;"_"&amp;AH$4,'2. หน้างบรายจ่าย'!$C:$K,7,0)))</f>
        <v>0</v>
      </c>
      <c r="AI44" s="342">
        <f>IF($C44="",0,IF(ISNA(VLOOKUP($A44&amp;"_"&amp;AI$4,'2. หน้างบรายจ่าย'!$C:$K,8,0)),0,VLOOKUP($A44&amp;"_"&amp;AI$4,'2. หน้างบรายจ่าย'!$C:$K,8,0)))</f>
        <v>0</v>
      </c>
      <c r="AJ44" s="340">
        <f>IF($C44="",0,IF(ISNA(VLOOKUP($A44&amp;"_"&amp;AJ$4,'2. หน้างบรายจ่าย'!$C:$K,9,0)),0,VLOOKUP($A44&amp;"_"&amp;AJ$4,'2. หน้างบรายจ่าย'!$C:$K,9,0)))</f>
        <v>0</v>
      </c>
      <c r="AK44" s="341">
        <f>IF($C44="",0,IF(ISNA(VLOOKUP($A44&amp;"_"&amp;AK$4,'2. หน้างบรายจ่าย'!$C:$K,7,0)),0,VLOOKUP($A44&amp;"_"&amp;AK$4,'2. หน้างบรายจ่าย'!$C:$K,7,0)))</f>
        <v>0</v>
      </c>
      <c r="AL44" s="342">
        <f>IF($C44="",0,IF(ISNA(VLOOKUP($A44&amp;"_"&amp;AL$4,'2. หน้างบรายจ่าย'!$C:$K,8,0)),0,VLOOKUP($A44&amp;"_"&amp;AL$4,'2. หน้างบรายจ่าย'!$C:$K,8,0)))</f>
        <v>0</v>
      </c>
      <c r="AM44" s="340">
        <f>IF($C44="",0,IF(ISNA(VLOOKUP($A44&amp;"_"&amp;AM$4,'2. หน้างบรายจ่าย'!$C:$K,9,0)),0,VLOOKUP($A44&amp;"_"&amp;AM$4,'2. หน้างบรายจ่าย'!$C:$K,9,0)))</f>
        <v>0</v>
      </c>
      <c r="AP44" s="171" t="str">
        <f t="shared" si="25"/>
        <v>Yes</v>
      </c>
    </row>
    <row r="45" spans="1:42" ht="25.5" customHeight="1">
      <c r="A45" s="210">
        <v>16</v>
      </c>
      <c r="B45" s="336" t="str">
        <f>IF(ISNA(VLOOKUP(A45,'2. หน้างบรายจ่าย'!$A:$K,4,0)),"",TEXT(VLOOKUP(A45,'2. หน้างบรายจ่าย'!$A:$K,4,0),"dd ดดด yy"))</f>
        <v>10 ก.พ. 69</v>
      </c>
      <c r="C45" s="364" t="str">
        <f>IF(ISNA(VLOOKUP(A45,'2. หน้างบรายจ่าย'!$A:$K,8,0)),"",VLOOKUP(A45,'2. หน้างบรายจ่าย'!$A:$K,8,0))</f>
        <v>ค่าบริการสื่อสาร-คชจ.ประจำ</v>
      </c>
      <c r="D45" s="274">
        <f t="shared" si="22"/>
        <v>0</v>
      </c>
      <c r="E45" s="275">
        <f t="shared" si="23"/>
        <v>0</v>
      </c>
      <c r="F45" s="274">
        <f t="shared" si="24"/>
        <v>7300</v>
      </c>
      <c r="G45" s="338">
        <f>IF($C45="",0,IF(ISNA(VLOOKUP($A45&amp;"_"&amp;G$4,'2. หน้างบรายจ่าย'!$C:$K,7,0)),0,VLOOKUP($A45&amp;"_"&amp;G$4,'2. หน้างบรายจ่าย'!$C:$K,7,0)))</f>
        <v>0</v>
      </c>
      <c r="H45" s="338">
        <f>IF($C45="",0,IF(ISNA(VLOOKUP($A45&amp;"_"&amp;H$4,'2. หน้างบรายจ่าย'!$C:$K,8,0)),0,VLOOKUP($A45&amp;"_"&amp;H$4,'2. หน้างบรายจ่าย'!$C:$K,8,0)))</f>
        <v>0</v>
      </c>
      <c r="I45" s="338">
        <f>IF($C45="",0,IF(ISNA(VLOOKUP($A45&amp;"_"&amp;I$4,'2. หน้างบรายจ่าย'!$C:$K,9,0)),0,VLOOKUP($A45&amp;"_"&amp;I$4,'2. หน้างบรายจ่าย'!$C:$K,9,0)))</f>
        <v>0</v>
      </c>
      <c r="J45" s="338">
        <f>IF($C45="",0,IF(ISNA(VLOOKUP($A45&amp;"_"&amp;J$4,'2. หน้างบรายจ่าย'!$C:$K,7,0)),0,VLOOKUP($A45&amp;"_"&amp;J$4,'2. หน้างบรายจ่าย'!$C:$K,7,0)))</f>
        <v>0</v>
      </c>
      <c r="K45" s="338">
        <f>IF($C45="",0,IF(ISNA(VLOOKUP($A45&amp;"_"&amp;K$4,'2. หน้างบรายจ่าย'!$C:$K,8,0)),0,VLOOKUP($A45&amp;"_"&amp;K$4,'2. หน้างบรายจ่าย'!$C:$K,8,0)))</f>
        <v>0</v>
      </c>
      <c r="L45" s="338">
        <f>IF($C45="",0,IF(ISNA(VLOOKUP($A45&amp;"_"&amp;L$4,'2. หน้างบรายจ่าย'!$C:$K,9,0)),0,VLOOKUP($A45&amp;"_"&amp;L$4,'2. หน้างบรายจ่าย'!$C:$K,9,0)))</f>
        <v>0</v>
      </c>
      <c r="M45" s="338">
        <f>IF($C45="",0,IF(ISNA(VLOOKUP($A45&amp;"_"&amp;M$4,'2. หน้างบรายจ่าย'!$C:$K,7,0)),0,VLOOKUP($A45&amp;"_"&amp;M$4,'2. หน้างบรายจ่าย'!$C:$K,7,0)))</f>
        <v>0</v>
      </c>
      <c r="N45" s="338">
        <f>IF($C45="",0,IF(ISNA(VLOOKUP($A45&amp;"_"&amp;N$4,'2. หน้างบรายจ่าย'!$C:$K,8,0)),0,VLOOKUP($A45&amp;"_"&amp;N$4,'2. หน้างบรายจ่าย'!$C:$K,8,0)))</f>
        <v>0</v>
      </c>
      <c r="O45" s="340">
        <f>IF($C45="",0,IF(ISNA(VLOOKUP($A45&amp;"_"&amp;O$4,'2. หน้างบรายจ่าย'!$C:$K,9,0)),0,VLOOKUP($A45&amp;"_"&amp;O$4,'2. หน้างบรายจ่าย'!$C:$K,9,0)))</f>
        <v>0</v>
      </c>
      <c r="P45" s="337">
        <f>IF($C45="",0,IF(ISNA(VLOOKUP($A45&amp;"_"&amp;P$4,'2. หน้างบรายจ่าย'!$C:$K,7,0)),0,VLOOKUP($A45&amp;"_"&amp;P$4,'2. หน้างบรายจ่าย'!$C:$K,7,0)))</f>
        <v>0</v>
      </c>
      <c r="Q45" s="341">
        <f>IF($C45="",0,IF(ISNA(VLOOKUP($A45&amp;"_"&amp;Q$4,'2. หน้างบรายจ่าย'!$C:$K,8,0)),0,VLOOKUP($A45&amp;"_"&amp;Q$4,'2. หน้างบรายจ่าย'!$C:$K,8,0)))</f>
        <v>0</v>
      </c>
      <c r="R45" s="338">
        <f>IF($C45="",0,IF(ISNA(VLOOKUP($A45&amp;"_"&amp;R$4,'2. หน้างบรายจ่าย'!$C:$K,9,0)),0,VLOOKUP($A45&amp;"_"&amp;R$4,'2. หน้างบรายจ่าย'!$C:$K,9,0)))</f>
        <v>0</v>
      </c>
      <c r="S45" s="338">
        <f>IF($C45="",0,IF(ISNA(VLOOKUP($A45&amp;"_"&amp;S$4,'2. หน้างบรายจ่าย'!$C:$K,7,0)),0,VLOOKUP($A45&amp;"_"&amp;S$4,'2. หน้างบรายจ่าย'!$C:$K,7,0)))</f>
        <v>0</v>
      </c>
      <c r="T45" s="338">
        <f>IF($C45="",0,IF(ISNA(VLOOKUP($A45&amp;"_"&amp;T$4,'2. หน้างบรายจ่าย'!$C:$K,8,0)),0,VLOOKUP($A45&amp;"_"&amp;T$4,'2. หน้างบรายจ่าย'!$C:$K,8,0)))</f>
        <v>0</v>
      </c>
      <c r="U45" s="338">
        <f>IF($C45="",0,IF(ISNA(VLOOKUP($A45&amp;"_"&amp;U$4,'2. หน้างบรายจ่าย'!$C:$K,9,0)),0,VLOOKUP($A45&amp;"_"&amp;U$4,'2. หน้างบรายจ่าย'!$C:$K,9,0)))</f>
        <v>0</v>
      </c>
      <c r="V45" s="338">
        <f>IF($C45="",0,IF(ISNA(VLOOKUP($A45&amp;"_"&amp;V$4,'2. หน้างบรายจ่าย'!$C:$K,7,0)),0,VLOOKUP($A45&amp;"_"&amp;V$4,'2. หน้างบรายจ่าย'!$C:$K,7,0)))</f>
        <v>0</v>
      </c>
      <c r="W45" s="338">
        <f>IF($C45="",0,IF(ISNA(VLOOKUP($A45&amp;"_"&amp;W$4,'2. หน้างบรายจ่าย'!$C:$K,8,0)),0,VLOOKUP($A45&amp;"_"&amp;W$4,'2. หน้างบรายจ่าย'!$C:$K,8,0)))</f>
        <v>0</v>
      </c>
      <c r="X45" s="338">
        <f>IF($C45="",0,IF(ISNA(VLOOKUP($A45&amp;"_"&amp;X$4,'2. หน้างบรายจ่าย'!$C:$K,9,0)),0,VLOOKUP($A45&amp;"_"&amp;X$4,'2. หน้างบรายจ่าย'!$C:$K,9,0)))</f>
        <v>0</v>
      </c>
      <c r="Y45" s="338">
        <f>IF($C45="",0,IF(ISNA(VLOOKUP($A45&amp;"_"&amp;Y$4,'2. หน้างบรายจ่าย'!$C:$K,7,0)),0,VLOOKUP($A45&amp;"_"&amp;Y$4,'2. หน้างบรายจ่าย'!$C:$K,7,0)))</f>
        <v>0</v>
      </c>
      <c r="Z45" s="338">
        <f>IF($C45="",0,IF(ISNA(VLOOKUP($A45&amp;"_"&amp;Z$4,'2. หน้างบรายจ่าย'!$C:$K,8,0)),0,VLOOKUP($A45&amp;"_"&amp;Z$4,'2. หน้างบรายจ่าย'!$C:$K,8,0)))</f>
        <v>0</v>
      </c>
      <c r="AA45" s="338">
        <f>IF($C45="",0,IF(ISNA(VLOOKUP($A45&amp;"_"&amp;AA$4,'2. หน้างบรายจ่าย'!$C:$K,9,0)),0,VLOOKUP($A45&amp;"_"&amp;AA$4,'2. หน้างบรายจ่าย'!$C:$K,9,0)))</f>
        <v>0</v>
      </c>
      <c r="AB45" s="338">
        <f>IF($C45="",0,IF(ISNA(VLOOKUP($A45&amp;"_"&amp;AB$4,'2. หน้างบรายจ่าย'!$C:$K,7,0)),0,VLOOKUP($A45&amp;"_"&amp;AB$4,'2. หน้างบรายจ่าย'!$C:$K,7,0)))</f>
        <v>0</v>
      </c>
      <c r="AC45" s="339">
        <f>IF($C45="",0,IF(ISNA(VLOOKUP($A45&amp;"_"&amp;AC$4,'2. หน้างบรายจ่าย'!$C:$K,8,0)),0,VLOOKUP($A45&amp;"_"&amp;AC$4,'2. หน้างบรายจ่าย'!$C:$K,8,0)))</f>
        <v>0</v>
      </c>
      <c r="AD45" s="340">
        <f>IF($C45="",0,IF(ISNA(VLOOKUP($A45&amp;"_"&amp;AD$4,'2. หน้างบรายจ่าย'!$C:$K,9,0)),0,VLOOKUP($A45&amp;"_"&amp;AD$4,'2. หน้างบรายจ่าย'!$C:$K,9,0)))</f>
        <v>7300</v>
      </c>
      <c r="AE45" s="337">
        <f>IF($C45="",0,IF(ISNA(VLOOKUP($A45&amp;"_"&amp;AE$4,'2. หน้างบรายจ่าย'!$C:$K,7,0)),0,VLOOKUP($A45&amp;"_"&amp;AE$4,'2. หน้างบรายจ่าย'!$C:$K,7,0)))</f>
        <v>0</v>
      </c>
      <c r="AF45" s="342">
        <f>IF($C45="",0,IF(ISNA(VLOOKUP($A45&amp;"_"&amp;AF$4,'2. หน้างบรายจ่าย'!$C:$K,8,0)),0,VLOOKUP($A45&amp;"_"&amp;AF$4,'2. หน้างบรายจ่าย'!$C:$K,8,0)))</f>
        <v>0</v>
      </c>
      <c r="AG45" s="340">
        <f>IF($C45="",0,IF(ISNA(VLOOKUP($A45&amp;"_"&amp;AG$4,'2. หน้างบรายจ่าย'!$C:$K,9,0)),0,VLOOKUP($A45&amp;"_"&amp;AG$4,'2. หน้างบรายจ่าย'!$C:$K,9,0)))</f>
        <v>0</v>
      </c>
      <c r="AH45" s="341">
        <f>IF($C45="",0,IF(ISNA(VLOOKUP($A45&amp;"_"&amp;AH$4,'2. หน้างบรายจ่าย'!$C:$K,7,0)),0,VLOOKUP($A45&amp;"_"&amp;AH$4,'2. หน้างบรายจ่าย'!$C:$K,7,0)))</f>
        <v>0</v>
      </c>
      <c r="AI45" s="342">
        <f>IF($C45="",0,IF(ISNA(VLOOKUP($A45&amp;"_"&amp;AI$4,'2. หน้างบรายจ่าย'!$C:$K,8,0)),0,VLOOKUP($A45&amp;"_"&amp;AI$4,'2. หน้างบรายจ่าย'!$C:$K,8,0)))</f>
        <v>0</v>
      </c>
      <c r="AJ45" s="340">
        <f>IF($C45="",0,IF(ISNA(VLOOKUP($A45&amp;"_"&amp;AJ$4,'2. หน้างบรายจ่าย'!$C:$K,9,0)),0,VLOOKUP($A45&amp;"_"&amp;AJ$4,'2. หน้างบรายจ่าย'!$C:$K,9,0)))</f>
        <v>0</v>
      </c>
      <c r="AK45" s="341">
        <f>IF($C45="",0,IF(ISNA(VLOOKUP($A45&amp;"_"&amp;AK$4,'2. หน้างบรายจ่าย'!$C:$K,7,0)),0,VLOOKUP($A45&amp;"_"&amp;AK$4,'2. หน้างบรายจ่าย'!$C:$K,7,0)))</f>
        <v>0</v>
      </c>
      <c r="AL45" s="342">
        <f>IF($C45="",0,IF(ISNA(VLOOKUP($A45&amp;"_"&amp;AL$4,'2. หน้างบรายจ่าย'!$C:$K,8,0)),0,VLOOKUP($A45&amp;"_"&amp;AL$4,'2. หน้างบรายจ่าย'!$C:$K,8,0)))</f>
        <v>0</v>
      </c>
      <c r="AM45" s="340">
        <f>IF($C45="",0,IF(ISNA(VLOOKUP($A45&amp;"_"&amp;AM$4,'2. หน้างบรายจ่าย'!$C:$K,9,0)),0,VLOOKUP($A45&amp;"_"&amp;AM$4,'2. หน้างบรายจ่าย'!$C:$K,9,0)))</f>
        <v>0</v>
      </c>
      <c r="AP45" s="171" t="str">
        <f t="shared" si="25"/>
        <v>Yes</v>
      </c>
    </row>
    <row r="46" spans="1:42" ht="27">
      <c r="A46" s="210">
        <v>17</v>
      </c>
      <c r="B46" s="336" t="str">
        <f>IF(ISNA(VLOOKUP(A46,'2. หน้างบรายจ่าย'!$A:$K,4,0)),"",TEXT(VLOOKUP(A46,'2. หน้างบรายจ่าย'!$A:$K,4,0),"dd ดดด yy"))</f>
        <v>27 ก.พ. 69</v>
      </c>
      <c r="C46" s="335" t="str">
        <f>IF(ISNA(VLOOKUP(A46,'2. หน้างบรายจ่าย'!$A:$K,8,0)),"",VLOOKUP(A46,'2. หน้างบรายจ่าย'!$A:$K,8,0))</f>
        <v>ค่าไฟฟ้า-คชจ.ประจำ</v>
      </c>
      <c r="D46" s="274">
        <f t="shared" si="22"/>
        <v>0</v>
      </c>
      <c r="E46" s="275">
        <f t="shared" si="23"/>
        <v>0</v>
      </c>
      <c r="F46" s="274">
        <f t="shared" si="24"/>
        <v>17207.61</v>
      </c>
      <c r="G46" s="338">
        <f>IF($C46="",0,IF(ISNA(VLOOKUP($A46&amp;"_"&amp;G$4,'2. หน้างบรายจ่าย'!$C:$K,7,0)),0,VLOOKUP($A46&amp;"_"&amp;G$4,'2. หน้างบรายจ่าย'!$C:$K,7,0)))</f>
        <v>0</v>
      </c>
      <c r="H46" s="338">
        <f>IF($C46="",0,IF(ISNA(VLOOKUP($A46&amp;"_"&amp;H$4,'2. หน้างบรายจ่าย'!$C:$K,8,0)),0,VLOOKUP($A46&amp;"_"&amp;H$4,'2. หน้างบรายจ่าย'!$C:$K,8,0)))</f>
        <v>0</v>
      </c>
      <c r="I46" s="338">
        <f>IF($C46="",0,IF(ISNA(VLOOKUP($A46&amp;"_"&amp;I$4,'2. หน้างบรายจ่าย'!$C:$K,9,0)),0,VLOOKUP($A46&amp;"_"&amp;I$4,'2. หน้างบรายจ่าย'!$C:$K,9,0)))</f>
        <v>0</v>
      </c>
      <c r="J46" s="338">
        <f>IF($C46="",0,IF(ISNA(VLOOKUP($A46&amp;"_"&amp;J$4,'2. หน้างบรายจ่าย'!$C:$K,7,0)),0,VLOOKUP($A46&amp;"_"&amp;J$4,'2. หน้างบรายจ่าย'!$C:$K,7,0)))</f>
        <v>0</v>
      </c>
      <c r="K46" s="338">
        <f>IF($C46="",0,IF(ISNA(VLOOKUP($A46&amp;"_"&amp;K$4,'2. หน้างบรายจ่าย'!$C:$K,8,0)),0,VLOOKUP($A46&amp;"_"&amp;K$4,'2. หน้างบรายจ่าย'!$C:$K,8,0)))</f>
        <v>0</v>
      </c>
      <c r="L46" s="338">
        <f>IF($C46="",0,IF(ISNA(VLOOKUP($A46&amp;"_"&amp;L$4,'2. หน้างบรายจ่าย'!$C:$K,9,0)),0,VLOOKUP($A46&amp;"_"&amp;L$4,'2. หน้างบรายจ่าย'!$C:$K,9,0)))</f>
        <v>0</v>
      </c>
      <c r="M46" s="338">
        <f>IF($C46="",0,IF(ISNA(VLOOKUP($A46&amp;"_"&amp;M$4,'2. หน้างบรายจ่าย'!$C:$K,7,0)),0,VLOOKUP($A46&amp;"_"&amp;M$4,'2. หน้างบรายจ่าย'!$C:$K,7,0)))</f>
        <v>0</v>
      </c>
      <c r="N46" s="338">
        <f>IF($C46="",0,IF(ISNA(VLOOKUP($A46&amp;"_"&amp;N$4,'2. หน้างบรายจ่าย'!$C:$K,8,0)),0,VLOOKUP($A46&amp;"_"&amp;N$4,'2. หน้างบรายจ่าย'!$C:$K,8,0)))</f>
        <v>0</v>
      </c>
      <c r="O46" s="340">
        <f>IF($C46="",0,IF(ISNA(VLOOKUP($A46&amp;"_"&amp;O$4,'2. หน้างบรายจ่าย'!$C:$K,9,0)),0,VLOOKUP($A46&amp;"_"&amp;O$4,'2. หน้างบรายจ่าย'!$C:$K,9,0)))</f>
        <v>0</v>
      </c>
      <c r="P46" s="337">
        <f>IF($C46="",0,IF(ISNA(VLOOKUP($A46&amp;"_"&amp;P$4,'2. หน้างบรายจ่าย'!$C:$K,7,0)),0,VLOOKUP($A46&amp;"_"&amp;P$4,'2. หน้างบรายจ่าย'!$C:$K,7,0)))</f>
        <v>0</v>
      </c>
      <c r="Q46" s="341">
        <f>IF($C46="",0,IF(ISNA(VLOOKUP($A46&amp;"_"&amp;Q$4,'2. หน้างบรายจ่าย'!$C:$K,8,0)),0,VLOOKUP($A46&amp;"_"&amp;Q$4,'2. หน้างบรายจ่าย'!$C:$K,8,0)))</f>
        <v>0</v>
      </c>
      <c r="R46" s="338">
        <f>IF($C46="",0,IF(ISNA(VLOOKUP($A46&amp;"_"&amp;R$4,'2. หน้างบรายจ่าย'!$C:$K,9,0)),0,VLOOKUP($A46&amp;"_"&amp;R$4,'2. หน้างบรายจ่าย'!$C:$K,9,0)))</f>
        <v>0</v>
      </c>
      <c r="S46" s="338">
        <f>IF($C46="",0,IF(ISNA(VLOOKUP($A46&amp;"_"&amp;S$4,'2. หน้างบรายจ่าย'!$C:$K,7,0)),0,VLOOKUP($A46&amp;"_"&amp;S$4,'2. หน้างบรายจ่าย'!$C:$K,7,0)))</f>
        <v>0</v>
      </c>
      <c r="T46" s="338">
        <f>IF($C46="",0,IF(ISNA(VLOOKUP($A46&amp;"_"&amp;T$4,'2. หน้างบรายจ่าย'!$C:$K,8,0)),0,VLOOKUP($A46&amp;"_"&amp;T$4,'2. หน้างบรายจ่าย'!$C:$K,8,0)))</f>
        <v>0</v>
      </c>
      <c r="U46" s="338">
        <f>IF($C46="",0,IF(ISNA(VLOOKUP($A46&amp;"_"&amp;U$4,'2. หน้างบรายจ่าย'!$C:$K,9,0)),0,VLOOKUP($A46&amp;"_"&amp;U$4,'2. หน้างบรายจ่าย'!$C:$K,9,0)))</f>
        <v>0</v>
      </c>
      <c r="V46" s="338">
        <f>IF($C46="",0,IF(ISNA(VLOOKUP($A46&amp;"_"&amp;V$4,'2. หน้างบรายจ่าย'!$C:$K,7,0)),0,VLOOKUP($A46&amp;"_"&amp;V$4,'2. หน้างบรายจ่าย'!$C:$K,7,0)))</f>
        <v>0</v>
      </c>
      <c r="W46" s="338">
        <f>IF($C46="",0,IF(ISNA(VLOOKUP($A46&amp;"_"&amp;W$4,'2. หน้างบรายจ่าย'!$C:$K,8,0)),0,VLOOKUP($A46&amp;"_"&amp;W$4,'2. หน้างบรายจ่าย'!$C:$K,8,0)))</f>
        <v>0</v>
      </c>
      <c r="X46" s="338">
        <f>IF($C46="",0,IF(ISNA(VLOOKUP($A46&amp;"_"&amp;X$4,'2. หน้างบรายจ่าย'!$C:$K,9,0)),0,VLOOKUP($A46&amp;"_"&amp;X$4,'2. หน้างบรายจ่าย'!$C:$K,9,0)))</f>
        <v>0</v>
      </c>
      <c r="Y46" s="338">
        <f>IF($C46="",0,IF(ISNA(VLOOKUP($A46&amp;"_"&amp;Y$4,'2. หน้างบรายจ่าย'!$C:$K,7,0)),0,VLOOKUP($A46&amp;"_"&amp;Y$4,'2. หน้างบรายจ่าย'!$C:$K,7,0)))</f>
        <v>0</v>
      </c>
      <c r="Z46" s="338">
        <f>IF($C46="",0,IF(ISNA(VLOOKUP($A46&amp;"_"&amp;Z$4,'2. หน้างบรายจ่าย'!$C:$K,8,0)),0,VLOOKUP($A46&amp;"_"&amp;Z$4,'2. หน้างบรายจ่าย'!$C:$K,8,0)))</f>
        <v>0</v>
      </c>
      <c r="AA46" s="338">
        <f>IF($C46="",0,IF(ISNA(VLOOKUP($A46&amp;"_"&amp;AA$4,'2. หน้างบรายจ่าย'!$C:$K,9,0)),0,VLOOKUP($A46&amp;"_"&amp;AA$4,'2. หน้างบรายจ่าย'!$C:$K,9,0)))</f>
        <v>0</v>
      </c>
      <c r="AB46" s="338">
        <f>IF($C46="",0,IF(ISNA(VLOOKUP($A46&amp;"_"&amp;AB$4,'2. หน้างบรายจ่าย'!$C:$K,7,0)),0,VLOOKUP($A46&amp;"_"&amp;AB$4,'2. หน้างบรายจ่าย'!$C:$K,7,0)))</f>
        <v>0</v>
      </c>
      <c r="AC46" s="339">
        <f>IF($C46="",0,IF(ISNA(VLOOKUP($A46&amp;"_"&amp;AC$4,'2. หน้างบรายจ่าย'!$C:$K,8,0)),0,VLOOKUP($A46&amp;"_"&amp;AC$4,'2. หน้างบรายจ่าย'!$C:$K,8,0)))</f>
        <v>0</v>
      </c>
      <c r="AD46" s="340">
        <f>IF($C46="",0,IF(ISNA(VLOOKUP($A46&amp;"_"&amp;AD$4,'2. หน้างบรายจ่าย'!$C:$K,9,0)),0,VLOOKUP($A46&amp;"_"&amp;AD$4,'2. หน้างบรายจ่าย'!$C:$K,9,0)))</f>
        <v>17207.61</v>
      </c>
      <c r="AE46" s="337">
        <f>IF($C46="",0,IF(ISNA(VLOOKUP($A46&amp;"_"&amp;AE$4,'2. หน้างบรายจ่าย'!$C:$K,7,0)),0,VLOOKUP($A46&amp;"_"&amp;AE$4,'2. หน้างบรายจ่าย'!$C:$K,7,0)))</f>
        <v>0</v>
      </c>
      <c r="AF46" s="342">
        <f>IF($C46="",0,IF(ISNA(VLOOKUP($A46&amp;"_"&amp;AF$4,'2. หน้างบรายจ่าย'!$C:$K,8,0)),0,VLOOKUP($A46&amp;"_"&amp;AF$4,'2. หน้างบรายจ่าย'!$C:$K,8,0)))</f>
        <v>0</v>
      </c>
      <c r="AG46" s="340">
        <f>IF($C46="",0,IF(ISNA(VLOOKUP($A46&amp;"_"&amp;AG$4,'2. หน้างบรายจ่าย'!$C:$K,9,0)),0,VLOOKUP($A46&amp;"_"&amp;AG$4,'2. หน้างบรายจ่าย'!$C:$K,9,0)))</f>
        <v>0</v>
      </c>
      <c r="AH46" s="341">
        <f>IF($C46="",0,IF(ISNA(VLOOKUP($A46&amp;"_"&amp;AH$4,'2. หน้างบรายจ่าย'!$C:$K,7,0)),0,VLOOKUP($A46&amp;"_"&amp;AH$4,'2. หน้างบรายจ่าย'!$C:$K,7,0)))</f>
        <v>0</v>
      </c>
      <c r="AI46" s="342">
        <f>IF($C46="",0,IF(ISNA(VLOOKUP($A46&amp;"_"&amp;AI$4,'2. หน้างบรายจ่าย'!$C:$K,8,0)),0,VLOOKUP($A46&amp;"_"&amp;AI$4,'2. หน้างบรายจ่าย'!$C:$K,8,0)))</f>
        <v>0</v>
      </c>
      <c r="AJ46" s="340">
        <f>IF($C46="",0,IF(ISNA(VLOOKUP($A46&amp;"_"&amp;AJ$4,'2. หน้างบรายจ่าย'!$C:$K,9,0)),0,VLOOKUP($A46&amp;"_"&amp;AJ$4,'2. หน้างบรายจ่าย'!$C:$K,9,0)))</f>
        <v>0</v>
      </c>
      <c r="AK46" s="341">
        <f>IF($C46="",0,IF(ISNA(VLOOKUP($A46&amp;"_"&amp;AK$4,'2. หน้างบรายจ่าย'!$C:$K,7,0)),0,VLOOKUP($A46&amp;"_"&amp;AK$4,'2. หน้างบรายจ่าย'!$C:$K,7,0)))</f>
        <v>0</v>
      </c>
      <c r="AL46" s="342">
        <f>IF($C46="",0,IF(ISNA(VLOOKUP($A46&amp;"_"&amp;AL$4,'2. หน้างบรายจ่าย'!$C:$K,8,0)),0,VLOOKUP($A46&amp;"_"&amp;AL$4,'2. หน้างบรายจ่าย'!$C:$K,8,0)))</f>
        <v>0</v>
      </c>
      <c r="AM46" s="340">
        <f>IF($C46="",0,IF(ISNA(VLOOKUP($A46&amp;"_"&amp;AM$4,'2. หน้างบรายจ่าย'!$C:$K,9,0)),0,VLOOKUP($A46&amp;"_"&amp;AM$4,'2. หน้างบรายจ่าย'!$C:$K,9,0)))</f>
        <v>0</v>
      </c>
      <c r="AP46" s="171" t="str">
        <f t="shared" si="25"/>
        <v>Yes</v>
      </c>
    </row>
    <row r="47" spans="1:42" ht="25.5" customHeight="1">
      <c r="A47" s="210">
        <v>18</v>
      </c>
      <c r="B47" s="336" t="str">
        <f>IF(ISNA(VLOOKUP(A47,'2. หน้างบรายจ่าย'!$A:$K,4,0)),"",TEXT(VLOOKUP(A47,'2. หน้างบรายจ่าย'!$A:$K,4,0),"dd ดดด yy"))</f>
        <v>27 ก.พ. 69</v>
      </c>
      <c r="C47" s="335" t="str">
        <f>IF(ISNA(VLOOKUP(A47,'2. หน้างบรายจ่าย'!$A:$K,8,0)),"",VLOOKUP(A47,'2. หน้างบรายจ่าย'!$A:$K,8,0))</f>
        <v>ค่าโทรศัพท์เคลื่อนที่ประจำตำแหน่ง ผอ. สคต.-คชจ. ประจำ</v>
      </c>
      <c r="D47" s="274">
        <f t="shared" si="22"/>
        <v>0</v>
      </c>
      <c r="E47" s="275">
        <f t="shared" si="23"/>
        <v>0</v>
      </c>
      <c r="F47" s="274">
        <f t="shared" si="24"/>
        <v>1338.39</v>
      </c>
      <c r="G47" s="338">
        <f>IF($C47="",0,IF(ISNA(VLOOKUP($A47&amp;"_"&amp;G$4,'2. หน้างบรายจ่าย'!$C:$K,7,0)),0,VLOOKUP($A47&amp;"_"&amp;G$4,'2. หน้างบรายจ่าย'!$C:$K,7,0)))</f>
        <v>0</v>
      </c>
      <c r="H47" s="338">
        <f>IF($C47="",0,IF(ISNA(VLOOKUP($A47&amp;"_"&amp;H$4,'2. หน้างบรายจ่าย'!$C:$K,8,0)),0,VLOOKUP($A47&amp;"_"&amp;H$4,'2. หน้างบรายจ่าย'!$C:$K,8,0)))</f>
        <v>0</v>
      </c>
      <c r="I47" s="338">
        <f>IF($C47="",0,IF(ISNA(VLOOKUP($A47&amp;"_"&amp;I$4,'2. หน้างบรายจ่าย'!$C:$K,9,0)),0,VLOOKUP($A47&amp;"_"&amp;I$4,'2. หน้างบรายจ่าย'!$C:$K,9,0)))</f>
        <v>0</v>
      </c>
      <c r="J47" s="338">
        <f>IF($C47="",0,IF(ISNA(VLOOKUP($A47&amp;"_"&amp;J$4,'2. หน้างบรายจ่าย'!$C:$K,7,0)),0,VLOOKUP($A47&amp;"_"&amp;J$4,'2. หน้างบรายจ่าย'!$C:$K,7,0)))</f>
        <v>0</v>
      </c>
      <c r="K47" s="338">
        <f>IF($C47="",0,IF(ISNA(VLOOKUP($A47&amp;"_"&amp;K$4,'2. หน้างบรายจ่าย'!$C:$K,8,0)),0,VLOOKUP($A47&amp;"_"&amp;K$4,'2. หน้างบรายจ่าย'!$C:$K,8,0)))</f>
        <v>0</v>
      </c>
      <c r="L47" s="338">
        <f>IF($C47="",0,IF(ISNA(VLOOKUP($A47&amp;"_"&amp;L$4,'2. หน้างบรายจ่าย'!$C:$K,9,0)),0,VLOOKUP($A47&amp;"_"&amp;L$4,'2. หน้างบรายจ่าย'!$C:$K,9,0)))</f>
        <v>0</v>
      </c>
      <c r="M47" s="338">
        <f>IF($C47="",0,IF(ISNA(VLOOKUP($A47&amp;"_"&amp;M$4,'2. หน้างบรายจ่าย'!$C:$K,7,0)),0,VLOOKUP($A47&amp;"_"&amp;M$4,'2. หน้างบรายจ่าย'!$C:$K,7,0)))</f>
        <v>0</v>
      </c>
      <c r="N47" s="338">
        <f>IF($C47="",0,IF(ISNA(VLOOKUP($A47&amp;"_"&amp;N$4,'2. หน้างบรายจ่าย'!$C:$K,8,0)),0,VLOOKUP($A47&amp;"_"&amp;N$4,'2. หน้างบรายจ่าย'!$C:$K,8,0)))</f>
        <v>0</v>
      </c>
      <c r="O47" s="340">
        <f>IF($C47="",0,IF(ISNA(VLOOKUP($A47&amp;"_"&amp;O$4,'2. หน้างบรายจ่าย'!$C:$K,9,0)),0,VLOOKUP($A47&amp;"_"&amp;O$4,'2. หน้างบรายจ่าย'!$C:$K,9,0)))</f>
        <v>0</v>
      </c>
      <c r="P47" s="337">
        <f>IF($C47="",0,IF(ISNA(VLOOKUP($A47&amp;"_"&amp;P$4,'2. หน้างบรายจ่าย'!$C:$K,7,0)),0,VLOOKUP($A47&amp;"_"&amp;P$4,'2. หน้างบรายจ่าย'!$C:$K,7,0)))</f>
        <v>0</v>
      </c>
      <c r="Q47" s="341">
        <f>IF($C47="",0,IF(ISNA(VLOOKUP($A47&amp;"_"&amp;Q$4,'2. หน้างบรายจ่าย'!$C:$K,8,0)),0,VLOOKUP($A47&amp;"_"&amp;Q$4,'2. หน้างบรายจ่าย'!$C:$K,8,0)))</f>
        <v>0</v>
      </c>
      <c r="R47" s="338">
        <f>IF($C47="",0,IF(ISNA(VLOOKUP($A47&amp;"_"&amp;R$4,'2. หน้างบรายจ่าย'!$C:$K,9,0)),0,VLOOKUP($A47&amp;"_"&amp;R$4,'2. หน้างบรายจ่าย'!$C:$K,9,0)))</f>
        <v>0</v>
      </c>
      <c r="S47" s="338">
        <f>IF($C47="",0,IF(ISNA(VLOOKUP($A47&amp;"_"&amp;S$4,'2. หน้างบรายจ่าย'!$C:$K,7,0)),0,VLOOKUP($A47&amp;"_"&amp;S$4,'2. หน้างบรายจ่าย'!$C:$K,7,0)))</f>
        <v>0</v>
      </c>
      <c r="T47" s="338">
        <f>IF($C47="",0,IF(ISNA(VLOOKUP($A47&amp;"_"&amp;T$4,'2. หน้างบรายจ่าย'!$C:$K,8,0)),0,VLOOKUP($A47&amp;"_"&amp;T$4,'2. หน้างบรายจ่าย'!$C:$K,8,0)))</f>
        <v>0</v>
      </c>
      <c r="U47" s="338">
        <f>IF($C47="",0,IF(ISNA(VLOOKUP($A47&amp;"_"&amp;U$4,'2. หน้างบรายจ่าย'!$C:$K,9,0)),0,VLOOKUP($A47&amp;"_"&amp;U$4,'2. หน้างบรายจ่าย'!$C:$K,9,0)))</f>
        <v>0</v>
      </c>
      <c r="V47" s="338">
        <f>IF($C47="",0,IF(ISNA(VLOOKUP($A47&amp;"_"&amp;V$4,'2. หน้างบรายจ่าย'!$C:$K,7,0)),0,VLOOKUP($A47&amp;"_"&amp;V$4,'2. หน้างบรายจ่าย'!$C:$K,7,0)))</f>
        <v>0</v>
      </c>
      <c r="W47" s="338">
        <f>IF($C47="",0,IF(ISNA(VLOOKUP($A47&amp;"_"&amp;W$4,'2. หน้างบรายจ่าย'!$C:$K,8,0)),0,VLOOKUP($A47&amp;"_"&amp;W$4,'2. หน้างบรายจ่าย'!$C:$K,8,0)))</f>
        <v>0</v>
      </c>
      <c r="X47" s="338">
        <f>IF($C47="",0,IF(ISNA(VLOOKUP($A47&amp;"_"&amp;X$4,'2. หน้างบรายจ่าย'!$C:$K,9,0)),0,VLOOKUP($A47&amp;"_"&amp;X$4,'2. หน้างบรายจ่าย'!$C:$K,9,0)))</f>
        <v>0</v>
      </c>
      <c r="Y47" s="338">
        <f>IF($C47="",0,IF(ISNA(VLOOKUP($A47&amp;"_"&amp;Y$4,'2. หน้างบรายจ่าย'!$C:$K,7,0)),0,VLOOKUP($A47&amp;"_"&amp;Y$4,'2. หน้างบรายจ่าย'!$C:$K,7,0)))</f>
        <v>0</v>
      </c>
      <c r="Z47" s="338">
        <f>IF($C47="",0,IF(ISNA(VLOOKUP($A47&amp;"_"&amp;Z$4,'2. หน้างบรายจ่าย'!$C:$K,8,0)),0,VLOOKUP($A47&amp;"_"&amp;Z$4,'2. หน้างบรายจ่าย'!$C:$K,8,0)))</f>
        <v>0</v>
      </c>
      <c r="AA47" s="338">
        <f>IF($C47="",0,IF(ISNA(VLOOKUP($A47&amp;"_"&amp;AA$4,'2. หน้างบรายจ่าย'!$C:$K,9,0)),0,VLOOKUP($A47&amp;"_"&amp;AA$4,'2. หน้างบรายจ่าย'!$C:$K,9,0)))</f>
        <v>0</v>
      </c>
      <c r="AB47" s="338">
        <f>IF($C47="",0,IF(ISNA(VLOOKUP($A47&amp;"_"&amp;AB$4,'2. หน้างบรายจ่าย'!$C:$K,7,0)),0,VLOOKUP($A47&amp;"_"&amp;AB$4,'2. หน้างบรายจ่าย'!$C:$K,7,0)))</f>
        <v>0</v>
      </c>
      <c r="AC47" s="339">
        <f>IF($C47="",0,IF(ISNA(VLOOKUP($A47&amp;"_"&amp;AC$4,'2. หน้างบรายจ่าย'!$C:$K,8,0)),0,VLOOKUP($A47&amp;"_"&amp;AC$4,'2. หน้างบรายจ่าย'!$C:$K,8,0)))</f>
        <v>0</v>
      </c>
      <c r="AD47" s="340">
        <f>IF($C47="",0,IF(ISNA(VLOOKUP($A47&amp;"_"&amp;AD$4,'2. หน้างบรายจ่าย'!$C:$K,9,0)),0,VLOOKUP($A47&amp;"_"&amp;AD$4,'2. หน้างบรายจ่าย'!$C:$K,9,0)))</f>
        <v>1338.39</v>
      </c>
      <c r="AE47" s="337">
        <f>IF($C47="",0,IF(ISNA(VLOOKUP($A47&amp;"_"&amp;AE$4,'2. หน้างบรายจ่าย'!$C:$K,7,0)),0,VLOOKUP($A47&amp;"_"&amp;AE$4,'2. หน้างบรายจ่าย'!$C:$K,7,0)))</f>
        <v>0</v>
      </c>
      <c r="AF47" s="342">
        <f>IF($C47="",0,IF(ISNA(VLOOKUP($A47&amp;"_"&amp;AF$4,'2. หน้างบรายจ่าย'!$C:$K,8,0)),0,VLOOKUP($A47&amp;"_"&amp;AF$4,'2. หน้างบรายจ่าย'!$C:$K,8,0)))</f>
        <v>0</v>
      </c>
      <c r="AG47" s="340">
        <f>IF($C47="",0,IF(ISNA(VLOOKUP($A47&amp;"_"&amp;AG$4,'2. หน้างบรายจ่าย'!$C:$K,9,0)),0,VLOOKUP($A47&amp;"_"&amp;AG$4,'2. หน้างบรายจ่าย'!$C:$K,9,0)))</f>
        <v>0</v>
      </c>
      <c r="AH47" s="341">
        <f>IF($C47="",0,IF(ISNA(VLOOKUP($A47&amp;"_"&amp;AH$4,'2. หน้างบรายจ่าย'!$C:$K,7,0)),0,VLOOKUP($A47&amp;"_"&amp;AH$4,'2. หน้างบรายจ่าย'!$C:$K,7,0)))</f>
        <v>0</v>
      </c>
      <c r="AI47" s="342">
        <f>IF($C47="",0,IF(ISNA(VLOOKUP($A47&amp;"_"&amp;AI$4,'2. หน้างบรายจ่าย'!$C:$K,8,0)),0,VLOOKUP($A47&amp;"_"&amp;AI$4,'2. หน้างบรายจ่าย'!$C:$K,8,0)))</f>
        <v>0</v>
      </c>
      <c r="AJ47" s="340">
        <f>IF($C47="",0,IF(ISNA(VLOOKUP($A47&amp;"_"&amp;AJ$4,'2. หน้างบรายจ่าย'!$C:$K,9,0)),0,VLOOKUP($A47&amp;"_"&amp;AJ$4,'2. หน้างบรายจ่าย'!$C:$K,9,0)))</f>
        <v>0</v>
      </c>
      <c r="AK47" s="341">
        <f>IF($C47="",0,IF(ISNA(VLOOKUP($A47&amp;"_"&amp;AK$4,'2. หน้างบรายจ่าย'!$C:$K,7,0)),0,VLOOKUP($A47&amp;"_"&amp;AK$4,'2. หน้างบรายจ่าย'!$C:$K,7,0)))</f>
        <v>0</v>
      </c>
      <c r="AL47" s="342">
        <f>IF($C47="",0,IF(ISNA(VLOOKUP($A47&amp;"_"&amp;AL$4,'2. หน้างบรายจ่าย'!$C:$K,8,0)),0,VLOOKUP($A47&amp;"_"&amp;AL$4,'2. หน้างบรายจ่าย'!$C:$K,8,0)))</f>
        <v>0</v>
      </c>
      <c r="AM47" s="340">
        <f>IF($C47="",0,IF(ISNA(VLOOKUP($A47&amp;"_"&amp;AM$4,'2. หน้างบรายจ่าย'!$C:$K,9,0)),0,VLOOKUP($A47&amp;"_"&amp;AM$4,'2. หน้างบรายจ่าย'!$C:$K,9,0)))</f>
        <v>0</v>
      </c>
      <c r="AP47" s="171" t="str">
        <f t="shared" si="25"/>
        <v>Yes</v>
      </c>
    </row>
    <row r="48" spans="1:42" ht="25.5" customHeight="1">
      <c r="A48" s="210">
        <v>19</v>
      </c>
      <c r="B48" s="336" t="str">
        <f>IF(ISNA(VLOOKUP(A48,'2. หน้างบรายจ่าย'!$A:$K,4,0)),"",TEXT(VLOOKUP(A48,'2. หน้างบรายจ่าย'!$A:$K,4,0),"dd ดดด yy"))</f>
        <v>27 ก.พ. 69</v>
      </c>
      <c r="C48" s="335" t="str">
        <f>IF(ISNA(VLOOKUP(A48,'2. หน้างบรายจ่าย'!$A:$K,8,0)),"",VLOOKUP(A48,'2. หน้างบรายจ่าย'!$A:$K,8,0))</f>
        <v>ค่าโทรศัพท์เคลื่อนที่ประจำตำแหน่ง ผช.ผอ.สคต.-คชจ. ประจำ</v>
      </c>
      <c r="D48" s="274">
        <f t="shared" si="22"/>
        <v>0</v>
      </c>
      <c r="E48" s="275">
        <f t="shared" si="23"/>
        <v>0</v>
      </c>
      <c r="F48" s="274">
        <f t="shared" si="24"/>
        <v>923.78</v>
      </c>
      <c r="G48" s="338">
        <f>IF($C48="",0,IF(ISNA(VLOOKUP($A48&amp;"_"&amp;G$4,'2. หน้างบรายจ่าย'!$C:$K,7,0)),0,VLOOKUP($A48&amp;"_"&amp;G$4,'2. หน้างบรายจ่าย'!$C:$K,7,0)))</f>
        <v>0</v>
      </c>
      <c r="H48" s="338">
        <f>IF($C48="",0,IF(ISNA(VLOOKUP($A48&amp;"_"&amp;H$4,'2. หน้างบรายจ่าย'!$C:$K,8,0)),0,VLOOKUP($A48&amp;"_"&amp;H$4,'2. หน้างบรายจ่าย'!$C:$K,8,0)))</f>
        <v>0</v>
      </c>
      <c r="I48" s="338">
        <f>IF($C48="",0,IF(ISNA(VLOOKUP($A48&amp;"_"&amp;I$4,'2. หน้างบรายจ่าย'!$C:$K,9,0)),0,VLOOKUP($A48&amp;"_"&amp;I$4,'2. หน้างบรายจ่าย'!$C:$K,9,0)))</f>
        <v>0</v>
      </c>
      <c r="J48" s="338">
        <f>IF($C48="",0,IF(ISNA(VLOOKUP($A48&amp;"_"&amp;J$4,'2. หน้างบรายจ่าย'!$C:$K,7,0)),0,VLOOKUP($A48&amp;"_"&amp;J$4,'2. หน้างบรายจ่าย'!$C:$K,7,0)))</f>
        <v>0</v>
      </c>
      <c r="K48" s="338">
        <f>IF($C48="",0,IF(ISNA(VLOOKUP($A48&amp;"_"&amp;K$4,'2. หน้างบรายจ่าย'!$C:$K,8,0)),0,VLOOKUP($A48&amp;"_"&amp;K$4,'2. หน้างบรายจ่าย'!$C:$K,8,0)))</f>
        <v>0</v>
      </c>
      <c r="L48" s="338">
        <f>IF($C48="",0,IF(ISNA(VLOOKUP($A48&amp;"_"&amp;L$4,'2. หน้างบรายจ่าย'!$C:$K,9,0)),0,VLOOKUP($A48&amp;"_"&amp;L$4,'2. หน้างบรายจ่าย'!$C:$K,9,0)))</f>
        <v>0</v>
      </c>
      <c r="M48" s="338">
        <f>IF($C48="",0,IF(ISNA(VLOOKUP($A48&amp;"_"&amp;M$4,'2. หน้างบรายจ่าย'!$C:$K,7,0)),0,VLOOKUP($A48&amp;"_"&amp;M$4,'2. หน้างบรายจ่าย'!$C:$K,7,0)))</f>
        <v>0</v>
      </c>
      <c r="N48" s="338">
        <f>IF($C48="",0,IF(ISNA(VLOOKUP($A48&amp;"_"&amp;N$4,'2. หน้างบรายจ่าย'!$C:$K,8,0)),0,VLOOKUP($A48&amp;"_"&amp;N$4,'2. หน้างบรายจ่าย'!$C:$K,8,0)))</f>
        <v>0</v>
      </c>
      <c r="O48" s="340">
        <f>IF($C48="",0,IF(ISNA(VLOOKUP($A48&amp;"_"&amp;O$4,'2. หน้างบรายจ่าย'!$C:$K,9,0)),0,VLOOKUP($A48&amp;"_"&amp;O$4,'2. หน้างบรายจ่าย'!$C:$K,9,0)))</f>
        <v>0</v>
      </c>
      <c r="P48" s="337">
        <f>IF($C48="",0,IF(ISNA(VLOOKUP($A48&amp;"_"&amp;P$4,'2. หน้างบรายจ่าย'!$C:$K,7,0)),0,VLOOKUP($A48&amp;"_"&amp;P$4,'2. หน้างบรายจ่าย'!$C:$K,7,0)))</f>
        <v>0</v>
      </c>
      <c r="Q48" s="341">
        <f>IF($C48="",0,IF(ISNA(VLOOKUP($A48&amp;"_"&amp;Q$4,'2. หน้างบรายจ่าย'!$C:$K,8,0)),0,VLOOKUP($A48&amp;"_"&amp;Q$4,'2. หน้างบรายจ่าย'!$C:$K,8,0)))</f>
        <v>0</v>
      </c>
      <c r="R48" s="338">
        <f>IF($C48="",0,IF(ISNA(VLOOKUP($A48&amp;"_"&amp;R$4,'2. หน้างบรายจ่าย'!$C:$K,9,0)),0,VLOOKUP($A48&amp;"_"&amp;R$4,'2. หน้างบรายจ่าย'!$C:$K,9,0)))</f>
        <v>0</v>
      </c>
      <c r="S48" s="338">
        <f>IF($C48="",0,IF(ISNA(VLOOKUP($A48&amp;"_"&amp;S$4,'2. หน้างบรายจ่าย'!$C:$K,7,0)),0,VLOOKUP($A48&amp;"_"&amp;S$4,'2. หน้างบรายจ่าย'!$C:$K,7,0)))</f>
        <v>0</v>
      </c>
      <c r="T48" s="338">
        <f>IF($C48="",0,IF(ISNA(VLOOKUP($A48&amp;"_"&amp;T$4,'2. หน้างบรายจ่าย'!$C:$K,8,0)),0,VLOOKUP($A48&amp;"_"&amp;T$4,'2. หน้างบรายจ่าย'!$C:$K,8,0)))</f>
        <v>0</v>
      </c>
      <c r="U48" s="338">
        <f>IF($C48="",0,IF(ISNA(VLOOKUP($A48&amp;"_"&amp;U$4,'2. หน้างบรายจ่าย'!$C:$K,9,0)),0,VLOOKUP($A48&amp;"_"&amp;U$4,'2. หน้างบรายจ่าย'!$C:$K,9,0)))</f>
        <v>0</v>
      </c>
      <c r="V48" s="338">
        <f>IF($C48="",0,IF(ISNA(VLOOKUP($A48&amp;"_"&amp;V$4,'2. หน้างบรายจ่าย'!$C:$K,7,0)),0,VLOOKUP($A48&amp;"_"&amp;V$4,'2. หน้างบรายจ่าย'!$C:$K,7,0)))</f>
        <v>0</v>
      </c>
      <c r="W48" s="338">
        <f>IF($C48="",0,IF(ISNA(VLOOKUP($A48&amp;"_"&amp;W$4,'2. หน้างบรายจ่าย'!$C:$K,8,0)),0,VLOOKUP($A48&amp;"_"&amp;W$4,'2. หน้างบรายจ่าย'!$C:$K,8,0)))</f>
        <v>0</v>
      </c>
      <c r="X48" s="338">
        <f>IF($C48="",0,IF(ISNA(VLOOKUP($A48&amp;"_"&amp;X$4,'2. หน้างบรายจ่าย'!$C:$K,9,0)),0,VLOOKUP($A48&amp;"_"&amp;X$4,'2. หน้างบรายจ่าย'!$C:$K,9,0)))</f>
        <v>0</v>
      </c>
      <c r="Y48" s="338">
        <f>IF($C48="",0,IF(ISNA(VLOOKUP($A48&amp;"_"&amp;Y$4,'2. หน้างบรายจ่าย'!$C:$K,7,0)),0,VLOOKUP($A48&amp;"_"&amp;Y$4,'2. หน้างบรายจ่าย'!$C:$K,7,0)))</f>
        <v>0</v>
      </c>
      <c r="Z48" s="338">
        <f>IF($C48="",0,IF(ISNA(VLOOKUP($A48&amp;"_"&amp;Z$4,'2. หน้างบรายจ่าย'!$C:$K,8,0)),0,VLOOKUP($A48&amp;"_"&amp;Z$4,'2. หน้างบรายจ่าย'!$C:$K,8,0)))</f>
        <v>0</v>
      </c>
      <c r="AA48" s="338">
        <f>IF($C48="",0,IF(ISNA(VLOOKUP($A48&amp;"_"&amp;AA$4,'2. หน้างบรายจ่าย'!$C:$K,9,0)),0,VLOOKUP($A48&amp;"_"&amp;AA$4,'2. หน้างบรายจ่าย'!$C:$K,9,0)))</f>
        <v>0</v>
      </c>
      <c r="AB48" s="338">
        <f>IF($C48="",0,IF(ISNA(VLOOKUP($A48&amp;"_"&amp;AB$4,'2. หน้างบรายจ่าย'!$C:$K,7,0)),0,VLOOKUP($A48&amp;"_"&amp;AB$4,'2. หน้างบรายจ่าย'!$C:$K,7,0)))</f>
        <v>0</v>
      </c>
      <c r="AC48" s="339">
        <f>IF($C48="",0,IF(ISNA(VLOOKUP($A48&amp;"_"&amp;AC$4,'2. หน้างบรายจ่าย'!$C:$K,8,0)),0,VLOOKUP($A48&amp;"_"&amp;AC$4,'2. หน้างบรายจ่าย'!$C:$K,8,0)))</f>
        <v>0</v>
      </c>
      <c r="AD48" s="340">
        <f>IF($C48="",0,IF(ISNA(VLOOKUP($A48&amp;"_"&amp;AD$4,'2. หน้างบรายจ่าย'!$C:$K,9,0)),0,VLOOKUP($A48&amp;"_"&amp;AD$4,'2. หน้างบรายจ่าย'!$C:$K,9,0)))</f>
        <v>923.78</v>
      </c>
      <c r="AE48" s="337">
        <f>IF($C48="",0,IF(ISNA(VLOOKUP($A48&amp;"_"&amp;AE$4,'2. หน้างบรายจ่าย'!$C:$K,7,0)),0,VLOOKUP($A48&amp;"_"&amp;AE$4,'2. หน้างบรายจ่าย'!$C:$K,7,0)))</f>
        <v>0</v>
      </c>
      <c r="AF48" s="342">
        <f>IF($C48="",0,IF(ISNA(VLOOKUP($A48&amp;"_"&amp;AF$4,'2. หน้างบรายจ่าย'!$C:$K,8,0)),0,VLOOKUP($A48&amp;"_"&amp;AF$4,'2. หน้างบรายจ่าย'!$C:$K,8,0)))</f>
        <v>0</v>
      </c>
      <c r="AG48" s="340">
        <f>IF($C48="",0,IF(ISNA(VLOOKUP($A48&amp;"_"&amp;AG$4,'2. หน้างบรายจ่าย'!$C:$K,9,0)),0,VLOOKUP($A48&amp;"_"&amp;AG$4,'2. หน้างบรายจ่าย'!$C:$K,9,0)))</f>
        <v>0</v>
      </c>
      <c r="AH48" s="341">
        <f>IF($C48="",0,IF(ISNA(VLOOKUP($A48&amp;"_"&amp;AH$4,'2. หน้างบรายจ่าย'!$C:$K,7,0)),0,VLOOKUP($A48&amp;"_"&amp;AH$4,'2. หน้างบรายจ่าย'!$C:$K,7,0)))</f>
        <v>0</v>
      </c>
      <c r="AI48" s="342">
        <f>IF($C48="",0,IF(ISNA(VLOOKUP($A48&amp;"_"&amp;AI$4,'2. หน้างบรายจ่าย'!$C:$K,8,0)),0,VLOOKUP($A48&amp;"_"&amp;AI$4,'2. หน้างบรายจ่าย'!$C:$K,8,0)))</f>
        <v>0</v>
      </c>
      <c r="AJ48" s="340">
        <f>IF($C48="",0,IF(ISNA(VLOOKUP($A48&amp;"_"&amp;AJ$4,'2. หน้างบรายจ่าย'!$C:$K,9,0)),0,VLOOKUP($A48&amp;"_"&amp;AJ$4,'2. หน้างบรายจ่าย'!$C:$K,9,0)))</f>
        <v>0</v>
      </c>
      <c r="AK48" s="341">
        <f>IF($C48="",0,IF(ISNA(VLOOKUP($A48&amp;"_"&amp;AK$4,'2. หน้างบรายจ่าย'!$C:$K,7,0)),0,VLOOKUP($A48&amp;"_"&amp;AK$4,'2. หน้างบรายจ่าย'!$C:$K,7,0)))</f>
        <v>0</v>
      </c>
      <c r="AL48" s="342">
        <f>IF($C48="",0,IF(ISNA(VLOOKUP($A48&amp;"_"&amp;AL$4,'2. หน้างบรายจ่าย'!$C:$K,8,0)),0,VLOOKUP($A48&amp;"_"&amp;AL$4,'2. หน้างบรายจ่าย'!$C:$K,8,0)))</f>
        <v>0</v>
      </c>
      <c r="AM48" s="340">
        <f>IF($C48="",0,IF(ISNA(VLOOKUP($A48&amp;"_"&amp;AM$4,'2. หน้างบรายจ่าย'!$C:$K,9,0)),0,VLOOKUP($A48&amp;"_"&amp;AM$4,'2. หน้างบรายจ่าย'!$C:$K,9,0)))</f>
        <v>0</v>
      </c>
      <c r="AP48" s="171" t="str">
        <f t="shared" si="25"/>
        <v>Yes</v>
      </c>
    </row>
    <row r="49" spans="1:42" ht="27">
      <c r="A49" s="210">
        <v>20</v>
      </c>
      <c r="B49" s="336" t="str">
        <f>IF(ISNA(VLOOKUP(A49,'2. หน้างบรายจ่าย'!$A:$K,4,0)),"",TEXT(VLOOKUP(A49,'2. หน้างบรายจ่าย'!$A:$K,4,0),"dd ดดด yy"))</f>
        <v>5 ก.พ. 69</v>
      </c>
      <c r="C49" s="335" t="str">
        <f>IF(ISNA(VLOOKUP(A49,'2. หน้างบรายจ่าย'!$A:$K,8,0)),"",VLOOKUP(A49,'2. หน้างบรายจ่าย'!$A:$K,8,0))</f>
        <v xml:space="preserve">ค่าจ้างบุคลากรท้องถิ่นโครงการ AEC Business Support Center 2026 </v>
      </c>
      <c r="D49" s="274">
        <f t="shared" si="22"/>
        <v>0</v>
      </c>
      <c r="E49" s="275">
        <f t="shared" si="23"/>
        <v>2548</v>
      </c>
      <c r="F49" s="274">
        <f t="shared" si="24"/>
        <v>0</v>
      </c>
      <c r="G49" s="338">
        <f>IF($C49="",0,IF(ISNA(VLOOKUP($A49&amp;"_"&amp;G$4,'2. หน้างบรายจ่าย'!$C:$K,7,0)),0,VLOOKUP($A49&amp;"_"&amp;G$4,'2. หน้างบรายจ่าย'!$C:$K,7,0)))</f>
        <v>0</v>
      </c>
      <c r="H49" s="338">
        <f>IF($C49="",0,IF(ISNA(VLOOKUP($A49&amp;"_"&amp;H$4,'2. หน้างบรายจ่าย'!$C:$K,8,0)),0,VLOOKUP($A49&amp;"_"&amp;H$4,'2. หน้างบรายจ่าย'!$C:$K,8,0)))</f>
        <v>0</v>
      </c>
      <c r="I49" s="338">
        <f>IF($C49="",0,IF(ISNA(VLOOKUP($A49&amp;"_"&amp;I$4,'2. หน้างบรายจ่าย'!$C:$K,9,0)),0,VLOOKUP($A49&amp;"_"&amp;I$4,'2. หน้างบรายจ่าย'!$C:$K,9,0)))</f>
        <v>0</v>
      </c>
      <c r="J49" s="338">
        <f>IF($C49="",0,IF(ISNA(VLOOKUP($A49&amp;"_"&amp;J$4,'2. หน้างบรายจ่าย'!$C:$K,7,0)),0,VLOOKUP($A49&amp;"_"&amp;J$4,'2. หน้างบรายจ่าย'!$C:$K,7,0)))</f>
        <v>0</v>
      </c>
      <c r="K49" s="338">
        <f>IF($C49="",0,IF(ISNA(VLOOKUP($A49&amp;"_"&amp;K$4,'2. หน้างบรายจ่าย'!$C:$K,8,0)),0,VLOOKUP($A49&amp;"_"&amp;K$4,'2. หน้างบรายจ่าย'!$C:$K,8,0)))</f>
        <v>0</v>
      </c>
      <c r="L49" s="338">
        <f>IF($C49="",0,IF(ISNA(VLOOKUP($A49&amp;"_"&amp;L$4,'2. หน้างบรายจ่าย'!$C:$K,9,0)),0,VLOOKUP($A49&amp;"_"&amp;L$4,'2. หน้างบรายจ่าย'!$C:$K,9,0)))</f>
        <v>0</v>
      </c>
      <c r="M49" s="338">
        <f>IF($C49="",0,IF(ISNA(VLOOKUP($A49&amp;"_"&amp;M$4,'2. หน้างบรายจ่าย'!$C:$K,7,0)),0,VLOOKUP($A49&amp;"_"&amp;M$4,'2. หน้างบรายจ่าย'!$C:$K,7,0)))</f>
        <v>0</v>
      </c>
      <c r="N49" s="338">
        <f>IF($C49="",0,IF(ISNA(VLOOKUP($A49&amp;"_"&amp;N$4,'2. หน้างบรายจ่าย'!$C:$K,8,0)),0,VLOOKUP($A49&amp;"_"&amp;N$4,'2. หน้างบรายจ่าย'!$C:$K,8,0)))</f>
        <v>0</v>
      </c>
      <c r="O49" s="340">
        <f>IF($C49="",0,IF(ISNA(VLOOKUP($A49&amp;"_"&amp;O$4,'2. หน้างบรายจ่าย'!$C:$K,9,0)),0,VLOOKUP($A49&amp;"_"&amp;O$4,'2. หน้างบรายจ่าย'!$C:$K,9,0)))</f>
        <v>0</v>
      </c>
      <c r="P49" s="337">
        <f>IF($C49="",0,IF(ISNA(VLOOKUP($A49&amp;"_"&amp;P$4,'2. หน้างบรายจ่าย'!$C:$K,7,0)),0,VLOOKUP($A49&amp;"_"&amp;P$4,'2. หน้างบรายจ่าย'!$C:$K,7,0)))</f>
        <v>0</v>
      </c>
      <c r="Q49" s="341">
        <f>IF($C49="",0,IF(ISNA(VLOOKUP($A49&amp;"_"&amp;Q$4,'2. หน้างบรายจ่าย'!$C:$K,8,0)),0,VLOOKUP($A49&amp;"_"&amp;Q$4,'2. หน้างบรายจ่าย'!$C:$K,8,0)))</f>
        <v>0</v>
      </c>
      <c r="R49" s="338">
        <f>IF($C49="",0,IF(ISNA(VLOOKUP($A49&amp;"_"&amp;R$4,'2. หน้างบรายจ่าย'!$C:$K,9,0)),0,VLOOKUP($A49&amp;"_"&amp;R$4,'2. หน้างบรายจ่าย'!$C:$K,9,0)))</f>
        <v>0</v>
      </c>
      <c r="S49" s="338">
        <f>IF($C49="",0,IF(ISNA(VLOOKUP($A49&amp;"_"&amp;S$4,'2. หน้างบรายจ่าย'!$C:$K,7,0)),0,VLOOKUP($A49&amp;"_"&amp;S$4,'2. หน้างบรายจ่าย'!$C:$K,7,0)))</f>
        <v>0</v>
      </c>
      <c r="T49" s="338">
        <f>IF($C49="",0,IF(ISNA(VLOOKUP($A49&amp;"_"&amp;T$4,'2. หน้างบรายจ่าย'!$C:$K,8,0)),0,VLOOKUP($A49&amp;"_"&amp;T$4,'2. หน้างบรายจ่าย'!$C:$K,8,0)))</f>
        <v>0</v>
      </c>
      <c r="U49" s="338">
        <f>IF($C49="",0,IF(ISNA(VLOOKUP($A49&amp;"_"&amp;U$4,'2. หน้างบรายจ่าย'!$C:$K,9,0)),0,VLOOKUP($A49&amp;"_"&amp;U$4,'2. หน้างบรายจ่าย'!$C:$K,9,0)))</f>
        <v>0</v>
      </c>
      <c r="V49" s="338">
        <f>IF($C49="",0,IF(ISNA(VLOOKUP($A49&amp;"_"&amp;V$4,'2. หน้างบรายจ่าย'!$C:$K,7,0)),0,VLOOKUP($A49&amp;"_"&amp;V$4,'2. หน้างบรายจ่าย'!$C:$K,7,0)))</f>
        <v>0</v>
      </c>
      <c r="W49" s="338">
        <f>IF($C49="",0,IF(ISNA(VLOOKUP($A49&amp;"_"&amp;W$4,'2. หน้างบรายจ่าย'!$C:$K,8,0)),0,VLOOKUP($A49&amp;"_"&amp;W$4,'2. หน้างบรายจ่าย'!$C:$K,8,0)))</f>
        <v>0</v>
      </c>
      <c r="X49" s="338">
        <f>IF($C49="",0,IF(ISNA(VLOOKUP($A49&amp;"_"&amp;X$4,'2. หน้างบรายจ่าย'!$C:$K,9,0)),0,VLOOKUP($A49&amp;"_"&amp;X$4,'2. หน้างบรายจ่าย'!$C:$K,9,0)))</f>
        <v>0</v>
      </c>
      <c r="Y49" s="338">
        <f>IF($C49="",0,IF(ISNA(VLOOKUP($A49&amp;"_"&amp;Y$4,'2. หน้างบรายจ่าย'!$C:$K,7,0)),0,VLOOKUP($A49&amp;"_"&amp;Y$4,'2. หน้างบรายจ่าย'!$C:$K,7,0)))</f>
        <v>0</v>
      </c>
      <c r="Z49" s="338">
        <f>IF($C49="",0,IF(ISNA(VLOOKUP($A49&amp;"_"&amp;Z$4,'2. หน้างบรายจ่าย'!$C:$K,8,0)),0,VLOOKUP($A49&amp;"_"&amp;Z$4,'2. หน้างบรายจ่าย'!$C:$K,8,0)))</f>
        <v>0</v>
      </c>
      <c r="AA49" s="338">
        <f>IF($C49="",0,IF(ISNA(VLOOKUP($A49&amp;"_"&amp;AA$4,'2. หน้างบรายจ่าย'!$C:$K,9,0)),0,VLOOKUP($A49&amp;"_"&amp;AA$4,'2. หน้างบรายจ่าย'!$C:$K,9,0)))</f>
        <v>0</v>
      </c>
      <c r="AB49" s="338">
        <f>IF($C49="",0,IF(ISNA(VLOOKUP($A49&amp;"_"&amp;AB$4,'2. หน้างบรายจ่าย'!$C:$K,7,0)),0,VLOOKUP($A49&amp;"_"&amp;AB$4,'2. หน้างบรายจ่าย'!$C:$K,7,0)))</f>
        <v>0</v>
      </c>
      <c r="AC49" s="339">
        <f>IF($C49="",0,IF(ISNA(VLOOKUP($A49&amp;"_"&amp;AC$4,'2. หน้างบรายจ่าย'!$C:$K,8,0)),0,VLOOKUP($A49&amp;"_"&amp;AC$4,'2. หน้างบรายจ่าย'!$C:$K,8,0)))</f>
        <v>0</v>
      </c>
      <c r="AD49" s="340">
        <f>IF($C49="",0,IF(ISNA(VLOOKUP($A49&amp;"_"&amp;AD$4,'2. หน้างบรายจ่าย'!$C:$K,9,0)),0,VLOOKUP($A49&amp;"_"&amp;AD$4,'2. หน้างบรายจ่าย'!$C:$K,9,0)))</f>
        <v>0</v>
      </c>
      <c r="AE49" s="337">
        <f>IF($C49="",0,IF(ISNA(VLOOKUP($A49&amp;"_"&amp;AE$4,'2. หน้างบรายจ่าย'!$C:$K,7,0)),0,VLOOKUP($A49&amp;"_"&amp;AE$4,'2. หน้างบรายจ่าย'!$C:$K,7,0)))</f>
        <v>0</v>
      </c>
      <c r="AF49" s="342">
        <f>IF($C49="",0,IF(ISNA(VLOOKUP($A49&amp;"_"&amp;AF$4,'2. หน้างบรายจ่าย'!$C:$K,8,0)),0,VLOOKUP($A49&amp;"_"&amp;AF$4,'2. หน้างบรายจ่าย'!$C:$K,8,0)))</f>
        <v>0</v>
      </c>
      <c r="AG49" s="340">
        <f>IF($C49="",0,IF(ISNA(VLOOKUP($A49&amp;"_"&amp;AG$4,'2. หน้างบรายจ่าย'!$C:$K,9,0)),0,VLOOKUP($A49&amp;"_"&amp;AG$4,'2. หน้างบรายจ่าย'!$C:$K,9,0)))</f>
        <v>0</v>
      </c>
      <c r="AH49" s="341">
        <f>IF($C49="",0,IF(ISNA(VLOOKUP($A49&amp;"_"&amp;AH$4,'2. หน้างบรายจ่าย'!$C:$K,7,0)),0,VLOOKUP($A49&amp;"_"&amp;AH$4,'2. หน้างบรายจ่าย'!$C:$K,7,0)))</f>
        <v>0</v>
      </c>
      <c r="AI49" s="342">
        <f>IF($C49="",0,IF(ISNA(VLOOKUP($A49&amp;"_"&amp;AI$4,'2. หน้างบรายจ่าย'!$C:$K,8,0)),0,VLOOKUP($A49&amp;"_"&amp;AI$4,'2. หน้างบรายจ่าย'!$C:$K,8,0)))</f>
        <v>0</v>
      </c>
      <c r="AJ49" s="340">
        <f>IF($C49="",0,IF(ISNA(VLOOKUP($A49&amp;"_"&amp;AJ$4,'2. หน้างบรายจ่าย'!$C:$K,9,0)),0,VLOOKUP($A49&amp;"_"&amp;AJ$4,'2. หน้างบรายจ่าย'!$C:$K,9,0)))</f>
        <v>0</v>
      </c>
      <c r="AK49" s="341">
        <f>IF($C49="",0,IF(ISNA(VLOOKUP($A49&amp;"_"&amp;AK$4,'2. หน้างบรายจ่าย'!$C:$K,7,0)),0,VLOOKUP($A49&amp;"_"&amp;AK$4,'2. หน้างบรายจ่าย'!$C:$K,7,0)))</f>
        <v>0</v>
      </c>
      <c r="AL49" s="342">
        <f>IF($C49="",0,IF(ISNA(VLOOKUP($A49&amp;"_"&amp;AL$4,'2. หน้างบรายจ่าย'!$C:$K,8,0)),0,VLOOKUP($A49&amp;"_"&amp;AL$4,'2. หน้างบรายจ่าย'!$C:$K,8,0)))</f>
        <v>2548</v>
      </c>
      <c r="AM49" s="340">
        <f>IF($C49="",0,IF(ISNA(VLOOKUP($A49&amp;"_"&amp;AM$4,'2. หน้างบรายจ่าย'!$C:$K,9,0)),0,VLOOKUP($A49&amp;"_"&amp;AM$4,'2. หน้างบรายจ่าย'!$C:$K,9,0)))</f>
        <v>0</v>
      </c>
      <c r="AP49" s="171" t="str">
        <f t="shared" si="25"/>
        <v>Yes</v>
      </c>
    </row>
    <row r="50" spans="1:42" ht="27" hidden="1">
      <c r="A50" s="210" t="s">
        <v>313</v>
      </c>
      <c r="B50" s="336" t="str">
        <f>IF(ISNA(VLOOKUP(A50,'2. หน้างบรายจ่าย'!$A:$K,4,0)),"",TEXT(VLOOKUP(A50,'2. หน้างบรายจ่าย'!$A:$K,4,0),"dd ดดด yy"))</f>
        <v/>
      </c>
      <c r="C50" s="335" t="str">
        <f>IF(ISNA(VLOOKUP(A50,'2. หน้างบรายจ่าย'!$A:$K,8,0)),"",VLOOKUP(A50,'2. หน้างบรายจ่าย'!$A:$K,8,0))</f>
        <v/>
      </c>
      <c r="D50" s="274">
        <f t="shared" si="22"/>
        <v>0</v>
      </c>
      <c r="E50" s="275">
        <f t="shared" si="23"/>
        <v>0</v>
      </c>
      <c r="F50" s="274">
        <f t="shared" si="24"/>
        <v>0</v>
      </c>
      <c r="G50" s="338">
        <f>IF($C50="",0,IF(ISNA(VLOOKUP($A50&amp;"_"&amp;G$4,'2. หน้างบรายจ่าย'!$C:$K,7,0)),0,VLOOKUP($A50&amp;"_"&amp;G$4,'2. หน้างบรายจ่าย'!$C:$K,7,0)))</f>
        <v>0</v>
      </c>
      <c r="H50" s="338">
        <f>IF($C50="",0,IF(ISNA(VLOOKUP($A50&amp;"_"&amp;H$4,'2. หน้างบรายจ่าย'!$C:$K,8,0)),0,VLOOKUP($A50&amp;"_"&amp;H$4,'2. หน้างบรายจ่าย'!$C:$K,8,0)))</f>
        <v>0</v>
      </c>
      <c r="I50" s="338">
        <f>IF($C50="",0,IF(ISNA(VLOOKUP($A50&amp;"_"&amp;I$4,'2. หน้างบรายจ่าย'!$C:$K,9,0)),0,VLOOKUP($A50&amp;"_"&amp;I$4,'2. หน้างบรายจ่าย'!$C:$K,9,0)))</f>
        <v>0</v>
      </c>
      <c r="J50" s="338">
        <f>IF($C50="",0,IF(ISNA(VLOOKUP($A50&amp;"_"&amp;J$4,'2. หน้างบรายจ่าย'!$C:$K,7,0)),0,VLOOKUP($A50&amp;"_"&amp;J$4,'2. หน้างบรายจ่าย'!$C:$K,7,0)))</f>
        <v>0</v>
      </c>
      <c r="K50" s="338">
        <f>IF($C50="",0,IF(ISNA(VLOOKUP($A50&amp;"_"&amp;K$4,'2. หน้างบรายจ่าย'!$C:$K,8,0)),0,VLOOKUP($A50&amp;"_"&amp;K$4,'2. หน้างบรายจ่าย'!$C:$K,8,0)))</f>
        <v>0</v>
      </c>
      <c r="L50" s="338">
        <f>IF($C50="",0,IF(ISNA(VLOOKUP($A50&amp;"_"&amp;L$4,'2. หน้างบรายจ่าย'!$C:$K,9,0)),0,VLOOKUP($A50&amp;"_"&amp;L$4,'2. หน้างบรายจ่าย'!$C:$K,9,0)))</f>
        <v>0</v>
      </c>
      <c r="M50" s="338">
        <f>IF($C50="",0,IF(ISNA(VLOOKUP($A50&amp;"_"&amp;M$4,'2. หน้างบรายจ่าย'!$C:$K,7,0)),0,VLOOKUP($A50&amp;"_"&amp;M$4,'2. หน้างบรายจ่าย'!$C:$K,7,0)))</f>
        <v>0</v>
      </c>
      <c r="N50" s="338">
        <f>IF($C50="",0,IF(ISNA(VLOOKUP($A50&amp;"_"&amp;N$4,'2. หน้างบรายจ่าย'!$C:$K,8,0)),0,VLOOKUP($A50&amp;"_"&amp;N$4,'2. หน้างบรายจ่าย'!$C:$K,8,0)))</f>
        <v>0</v>
      </c>
      <c r="O50" s="340">
        <f>IF($C50="",0,IF(ISNA(VLOOKUP($A50&amp;"_"&amp;O$4,'2. หน้างบรายจ่าย'!$C:$K,9,0)),0,VLOOKUP($A50&amp;"_"&amp;O$4,'2. หน้างบรายจ่าย'!$C:$K,9,0)))</f>
        <v>0</v>
      </c>
      <c r="P50" s="337">
        <f>IF($C50="",0,IF(ISNA(VLOOKUP($A50&amp;"_"&amp;P$4,'2. หน้างบรายจ่าย'!$C:$K,7,0)),0,VLOOKUP($A50&amp;"_"&amp;P$4,'2. หน้างบรายจ่าย'!$C:$K,7,0)))</f>
        <v>0</v>
      </c>
      <c r="Q50" s="341">
        <f>IF($C50="",0,IF(ISNA(VLOOKUP($A50&amp;"_"&amp;Q$4,'2. หน้างบรายจ่าย'!$C:$K,8,0)),0,VLOOKUP($A50&amp;"_"&amp;Q$4,'2. หน้างบรายจ่าย'!$C:$K,8,0)))</f>
        <v>0</v>
      </c>
      <c r="R50" s="338">
        <f>IF($C50="",0,IF(ISNA(VLOOKUP($A50&amp;"_"&amp;R$4,'2. หน้างบรายจ่าย'!$C:$K,9,0)),0,VLOOKUP($A50&amp;"_"&amp;R$4,'2. หน้างบรายจ่าย'!$C:$K,9,0)))</f>
        <v>0</v>
      </c>
      <c r="S50" s="338">
        <f>IF($C50="",0,IF(ISNA(VLOOKUP($A50&amp;"_"&amp;S$4,'2. หน้างบรายจ่าย'!$C:$K,7,0)),0,VLOOKUP($A50&amp;"_"&amp;S$4,'2. หน้างบรายจ่าย'!$C:$K,7,0)))</f>
        <v>0</v>
      </c>
      <c r="T50" s="338">
        <f>IF($C50="",0,IF(ISNA(VLOOKUP($A50&amp;"_"&amp;T$4,'2. หน้างบรายจ่าย'!$C:$K,8,0)),0,VLOOKUP($A50&amp;"_"&amp;T$4,'2. หน้างบรายจ่าย'!$C:$K,8,0)))</f>
        <v>0</v>
      </c>
      <c r="U50" s="338">
        <f>IF($C50="",0,IF(ISNA(VLOOKUP($A50&amp;"_"&amp;U$4,'2. หน้างบรายจ่าย'!$C:$K,9,0)),0,VLOOKUP($A50&amp;"_"&amp;U$4,'2. หน้างบรายจ่าย'!$C:$K,9,0)))</f>
        <v>0</v>
      </c>
      <c r="V50" s="338">
        <f>IF($C50="",0,IF(ISNA(VLOOKUP($A50&amp;"_"&amp;V$4,'2. หน้างบรายจ่าย'!$C:$K,7,0)),0,VLOOKUP($A50&amp;"_"&amp;V$4,'2. หน้างบรายจ่าย'!$C:$K,7,0)))</f>
        <v>0</v>
      </c>
      <c r="W50" s="338">
        <f>IF($C50="",0,IF(ISNA(VLOOKUP($A50&amp;"_"&amp;W$4,'2. หน้างบรายจ่าย'!$C:$K,8,0)),0,VLOOKUP($A50&amp;"_"&amp;W$4,'2. หน้างบรายจ่าย'!$C:$K,8,0)))</f>
        <v>0</v>
      </c>
      <c r="X50" s="338">
        <f>IF($C50="",0,IF(ISNA(VLOOKUP($A50&amp;"_"&amp;X$4,'2. หน้างบรายจ่าย'!$C:$K,9,0)),0,VLOOKUP($A50&amp;"_"&amp;X$4,'2. หน้างบรายจ่าย'!$C:$K,9,0)))</f>
        <v>0</v>
      </c>
      <c r="Y50" s="338">
        <f>IF($C50="",0,IF(ISNA(VLOOKUP($A50&amp;"_"&amp;Y$4,'2. หน้างบรายจ่าย'!$C:$K,7,0)),0,VLOOKUP($A50&amp;"_"&amp;Y$4,'2. หน้างบรายจ่าย'!$C:$K,7,0)))</f>
        <v>0</v>
      </c>
      <c r="Z50" s="338">
        <f>IF($C50="",0,IF(ISNA(VLOOKUP($A50&amp;"_"&amp;Z$4,'2. หน้างบรายจ่าย'!$C:$K,8,0)),0,VLOOKUP($A50&amp;"_"&amp;Z$4,'2. หน้างบรายจ่าย'!$C:$K,8,0)))</f>
        <v>0</v>
      </c>
      <c r="AA50" s="338">
        <f>IF($C50="",0,IF(ISNA(VLOOKUP($A50&amp;"_"&amp;AA$4,'2. หน้างบรายจ่าย'!$C:$K,9,0)),0,VLOOKUP($A50&amp;"_"&amp;AA$4,'2. หน้างบรายจ่าย'!$C:$K,9,0)))</f>
        <v>0</v>
      </c>
      <c r="AB50" s="338">
        <f>IF($C50="",0,IF(ISNA(VLOOKUP($A50&amp;"_"&amp;AB$4,'2. หน้างบรายจ่าย'!$C:$K,7,0)),0,VLOOKUP($A50&amp;"_"&amp;AB$4,'2. หน้างบรายจ่าย'!$C:$K,7,0)))</f>
        <v>0</v>
      </c>
      <c r="AC50" s="339">
        <f>IF($C50="",0,IF(ISNA(VLOOKUP($A50&amp;"_"&amp;AC$4,'2. หน้างบรายจ่าย'!$C:$K,8,0)),0,VLOOKUP($A50&amp;"_"&amp;AC$4,'2. หน้างบรายจ่าย'!$C:$K,8,0)))</f>
        <v>0</v>
      </c>
      <c r="AD50" s="340">
        <f>IF($C50="",0,IF(ISNA(VLOOKUP($A50&amp;"_"&amp;AD$4,'2. หน้างบรายจ่าย'!$C:$K,9,0)),0,VLOOKUP($A50&amp;"_"&amp;AD$4,'2. หน้างบรายจ่าย'!$C:$K,9,0)))</f>
        <v>0</v>
      </c>
      <c r="AE50" s="337">
        <f>IF($C50="",0,IF(ISNA(VLOOKUP($A50&amp;"_"&amp;AE$4,'2. หน้างบรายจ่าย'!$C:$K,7,0)),0,VLOOKUP($A50&amp;"_"&amp;AE$4,'2. หน้างบรายจ่าย'!$C:$K,7,0)))</f>
        <v>0</v>
      </c>
      <c r="AF50" s="342">
        <f>IF($C50="",0,IF(ISNA(VLOOKUP($A50&amp;"_"&amp;AF$4,'2. หน้างบรายจ่าย'!$C:$K,8,0)),0,VLOOKUP($A50&amp;"_"&amp;AF$4,'2. หน้างบรายจ่าย'!$C:$K,8,0)))</f>
        <v>0</v>
      </c>
      <c r="AG50" s="340">
        <f>IF($C50="",0,IF(ISNA(VLOOKUP($A50&amp;"_"&amp;AG$4,'2. หน้างบรายจ่าย'!$C:$K,9,0)),0,VLOOKUP($A50&amp;"_"&amp;AG$4,'2. หน้างบรายจ่าย'!$C:$K,9,0)))</f>
        <v>0</v>
      </c>
      <c r="AH50" s="341">
        <f>IF($C50="",0,IF(ISNA(VLOOKUP($A50&amp;"_"&amp;AH$4,'2. หน้างบรายจ่าย'!$C:$K,7,0)),0,VLOOKUP($A50&amp;"_"&amp;AH$4,'2. หน้างบรายจ่าย'!$C:$K,7,0)))</f>
        <v>0</v>
      </c>
      <c r="AI50" s="342">
        <f>IF($C50="",0,IF(ISNA(VLOOKUP($A50&amp;"_"&amp;AI$4,'2. หน้างบรายจ่าย'!$C:$K,8,0)),0,VLOOKUP($A50&amp;"_"&amp;AI$4,'2. หน้างบรายจ่าย'!$C:$K,8,0)))</f>
        <v>0</v>
      </c>
      <c r="AJ50" s="340">
        <f>IF($C50="",0,IF(ISNA(VLOOKUP($A50&amp;"_"&amp;AJ$4,'2. หน้างบรายจ่าย'!$C:$K,9,0)),0,VLOOKUP($A50&amp;"_"&amp;AJ$4,'2. หน้างบรายจ่าย'!$C:$K,9,0)))</f>
        <v>0</v>
      </c>
      <c r="AK50" s="341">
        <f>IF($C50="",0,IF(ISNA(VLOOKUP($A50&amp;"_"&amp;AK$4,'2. หน้างบรายจ่าย'!$C:$K,7,0)),0,VLOOKUP($A50&amp;"_"&amp;AK$4,'2. หน้างบรายจ่าย'!$C:$K,7,0)))</f>
        <v>0</v>
      </c>
      <c r="AL50" s="342">
        <f>IF($C50="",0,IF(ISNA(VLOOKUP($A50&amp;"_"&amp;AL$4,'2. หน้างบรายจ่าย'!$C:$K,8,0)),0,VLOOKUP($A50&amp;"_"&amp;AL$4,'2. หน้างบรายจ่าย'!$C:$K,8,0)))</f>
        <v>0</v>
      </c>
      <c r="AM50" s="340">
        <f>IF($C50="",0,IF(ISNA(VLOOKUP($A50&amp;"_"&amp;AM$4,'2. หน้างบรายจ่าย'!$C:$K,9,0)),0,VLOOKUP($A50&amp;"_"&amp;AM$4,'2. หน้างบรายจ่าย'!$C:$K,9,0)))</f>
        <v>0</v>
      </c>
      <c r="AP50" s="171" t="str">
        <f t="shared" si="25"/>
        <v>No</v>
      </c>
    </row>
    <row r="51" spans="1:42" ht="27" hidden="1" customHeight="1">
      <c r="A51" s="210">
        <v>22</v>
      </c>
      <c r="B51" s="336" t="str">
        <f>IF(ISNA(VLOOKUP(A51,'2. หน้างบรายจ่าย'!$A:$K,4,0)),"",TEXT(VLOOKUP(A51,'2. หน้างบรายจ่าย'!$A:$K,4,0),"dd ดดด yy"))</f>
        <v/>
      </c>
      <c r="C51" s="335" t="str">
        <f>IF(ISNA(VLOOKUP(A51,'2. หน้างบรายจ่าย'!$A:$K,8,0)),"",VLOOKUP(A51,'2. หน้างบรายจ่าย'!$A:$K,8,0))</f>
        <v/>
      </c>
      <c r="D51" s="274">
        <f t="shared" si="22"/>
        <v>0</v>
      </c>
      <c r="E51" s="275">
        <f t="shared" si="23"/>
        <v>0</v>
      </c>
      <c r="F51" s="274">
        <f t="shared" si="24"/>
        <v>0</v>
      </c>
      <c r="G51" s="338">
        <f>IF($C51="",0,IF(ISNA(VLOOKUP($A51&amp;"_"&amp;G$4,'2. หน้างบรายจ่าย'!$C:$K,7,0)),0,VLOOKUP($A51&amp;"_"&amp;G$4,'2. หน้างบรายจ่าย'!$C:$K,7,0)))</f>
        <v>0</v>
      </c>
      <c r="H51" s="338">
        <f>IF($C51="",0,IF(ISNA(VLOOKUP($A51&amp;"_"&amp;H$4,'2. หน้างบรายจ่าย'!$C:$K,8,0)),0,VLOOKUP($A51&amp;"_"&amp;H$4,'2. หน้างบรายจ่าย'!$C:$K,8,0)))</f>
        <v>0</v>
      </c>
      <c r="I51" s="338">
        <f>IF($C51="",0,IF(ISNA(VLOOKUP($A51&amp;"_"&amp;I$4,'2. หน้างบรายจ่าย'!$C:$K,9,0)),0,VLOOKUP($A51&amp;"_"&amp;I$4,'2. หน้างบรายจ่าย'!$C:$K,9,0)))</f>
        <v>0</v>
      </c>
      <c r="J51" s="338">
        <f>IF($C51="",0,IF(ISNA(VLOOKUP($A51&amp;"_"&amp;J$4,'2. หน้างบรายจ่าย'!$C:$K,7,0)),0,VLOOKUP($A51&amp;"_"&amp;J$4,'2. หน้างบรายจ่าย'!$C:$K,7,0)))</f>
        <v>0</v>
      </c>
      <c r="K51" s="338">
        <f>IF($C51="",0,IF(ISNA(VLOOKUP($A51&amp;"_"&amp;K$4,'2. หน้างบรายจ่าย'!$C:$K,8,0)),0,VLOOKUP($A51&amp;"_"&amp;K$4,'2. หน้างบรายจ่าย'!$C:$K,8,0)))</f>
        <v>0</v>
      </c>
      <c r="L51" s="338">
        <f>IF($C51="",0,IF(ISNA(VLOOKUP($A51&amp;"_"&amp;L$4,'2. หน้างบรายจ่าย'!$C:$K,9,0)),0,VLOOKUP($A51&amp;"_"&amp;L$4,'2. หน้างบรายจ่าย'!$C:$K,9,0)))</f>
        <v>0</v>
      </c>
      <c r="M51" s="338">
        <f>IF($C51="",0,IF(ISNA(VLOOKUP($A51&amp;"_"&amp;M$4,'2. หน้างบรายจ่าย'!$C:$K,7,0)),0,VLOOKUP($A51&amp;"_"&amp;M$4,'2. หน้างบรายจ่าย'!$C:$K,7,0)))</f>
        <v>0</v>
      </c>
      <c r="N51" s="338">
        <f>IF($C51="",0,IF(ISNA(VLOOKUP($A51&amp;"_"&amp;N$4,'2. หน้างบรายจ่าย'!$C:$K,8,0)),0,VLOOKUP($A51&amp;"_"&amp;N$4,'2. หน้างบรายจ่าย'!$C:$K,8,0)))</f>
        <v>0</v>
      </c>
      <c r="O51" s="340">
        <f>IF($C51="",0,IF(ISNA(VLOOKUP($A51&amp;"_"&amp;O$4,'2. หน้างบรายจ่าย'!$C:$K,9,0)),0,VLOOKUP($A51&amp;"_"&amp;O$4,'2. หน้างบรายจ่าย'!$C:$K,9,0)))</f>
        <v>0</v>
      </c>
      <c r="P51" s="337">
        <f>IF($C51="",0,IF(ISNA(VLOOKUP($A51&amp;"_"&amp;P$4,'2. หน้างบรายจ่าย'!$C:$K,7,0)),0,VLOOKUP($A51&amp;"_"&amp;P$4,'2. หน้างบรายจ่าย'!$C:$K,7,0)))</f>
        <v>0</v>
      </c>
      <c r="Q51" s="341">
        <f>IF($C51="",0,IF(ISNA(VLOOKUP($A51&amp;"_"&amp;Q$4,'2. หน้างบรายจ่าย'!$C:$K,8,0)),0,VLOOKUP($A51&amp;"_"&amp;Q$4,'2. หน้างบรายจ่าย'!$C:$K,8,0)))</f>
        <v>0</v>
      </c>
      <c r="R51" s="338">
        <f>IF($C51="",0,IF(ISNA(VLOOKUP($A51&amp;"_"&amp;R$4,'2. หน้างบรายจ่าย'!$C:$K,9,0)),0,VLOOKUP($A51&amp;"_"&amp;R$4,'2. หน้างบรายจ่าย'!$C:$K,9,0)))</f>
        <v>0</v>
      </c>
      <c r="S51" s="338">
        <f>IF($C51="",0,IF(ISNA(VLOOKUP($A51&amp;"_"&amp;S$4,'2. หน้างบรายจ่าย'!$C:$K,7,0)),0,VLOOKUP($A51&amp;"_"&amp;S$4,'2. หน้างบรายจ่าย'!$C:$K,7,0)))</f>
        <v>0</v>
      </c>
      <c r="T51" s="338">
        <f>IF($C51="",0,IF(ISNA(VLOOKUP($A51&amp;"_"&amp;T$4,'2. หน้างบรายจ่าย'!$C:$K,8,0)),0,VLOOKUP($A51&amp;"_"&amp;T$4,'2. หน้างบรายจ่าย'!$C:$K,8,0)))</f>
        <v>0</v>
      </c>
      <c r="U51" s="338">
        <f>IF($C51="",0,IF(ISNA(VLOOKUP($A51&amp;"_"&amp;U$4,'2. หน้างบรายจ่าย'!$C:$K,9,0)),0,VLOOKUP($A51&amp;"_"&amp;U$4,'2. หน้างบรายจ่าย'!$C:$K,9,0)))</f>
        <v>0</v>
      </c>
      <c r="V51" s="338">
        <f>IF($C51="",0,IF(ISNA(VLOOKUP($A51&amp;"_"&amp;V$4,'2. หน้างบรายจ่าย'!$C:$K,7,0)),0,VLOOKUP($A51&amp;"_"&amp;V$4,'2. หน้างบรายจ่าย'!$C:$K,7,0)))</f>
        <v>0</v>
      </c>
      <c r="W51" s="338">
        <f>IF($C51="",0,IF(ISNA(VLOOKUP($A51&amp;"_"&amp;W$4,'2. หน้างบรายจ่าย'!$C:$K,8,0)),0,VLOOKUP($A51&amp;"_"&amp;W$4,'2. หน้างบรายจ่าย'!$C:$K,8,0)))</f>
        <v>0</v>
      </c>
      <c r="X51" s="338">
        <f>IF($C51="",0,IF(ISNA(VLOOKUP($A51&amp;"_"&amp;X$4,'2. หน้างบรายจ่าย'!$C:$K,9,0)),0,VLOOKUP($A51&amp;"_"&amp;X$4,'2. หน้างบรายจ่าย'!$C:$K,9,0)))</f>
        <v>0</v>
      </c>
      <c r="Y51" s="338">
        <f>IF($C51="",0,IF(ISNA(VLOOKUP($A51&amp;"_"&amp;Y$4,'2. หน้างบรายจ่าย'!$C:$K,7,0)),0,VLOOKUP($A51&amp;"_"&amp;Y$4,'2. หน้างบรายจ่าย'!$C:$K,7,0)))</f>
        <v>0</v>
      </c>
      <c r="Z51" s="338">
        <f>IF($C51="",0,IF(ISNA(VLOOKUP($A51&amp;"_"&amp;Z$4,'2. หน้างบรายจ่าย'!$C:$K,8,0)),0,VLOOKUP($A51&amp;"_"&amp;Z$4,'2. หน้างบรายจ่าย'!$C:$K,8,0)))</f>
        <v>0</v>
      </c>
      <c r="AA51" s="338">
        <f>IF($C51="",0,IF(ISNA(VLOOKUP($A51&amp;"_"&amp;AA$4,'2. หน้างบรายจ่าย'!$C:$K,9,0)),0,VLOOKUP($A51&amp;"_"&amp;AA$4,'2. หน้างบรายจ่าย'!$C:$K,9,0)))</f>
        <v>0</v>
      </c>
      <c r="AB51" s="338">
        <f>IF($C51="",0,IF(ISNA(VLOOKUP($A51&amp;"_"&amp;AB$4,'2. หน้างบรายจ่าย'!$C:$K,7,0)),0,VLOOKUP($A51&amp;"_"&amp;AB$4,'2. หน้างบรายจ่าย'!$C:$K,7,0)))</f>
        <v>0</v>
      </c>
      <c r="AC51" s="339">
        <f>IF($C51="",0,IF(ISNA(VLOOKUP($A51&amp;"_"&amp;AC$4,'2. หน้างบรายจ่าย'!$C:$K,8,0)),0,VLOOKUP($A51&amp;"_"&amp;AC$4,'2. หน้างบรายจ่าย'!$C:$K,8,0)))</f>
        <v>0</v>
      </c>
      <c r="AD51" s="340">
        <f>IF($C51="",0,IF(ISNA(VLOOKUP($A51&amp;"_"&amp;AD$4,'2. หน้างบรายจ่าย'!$C:$K,9,0)),0,VLOOKUP($A51&amp;"_"&amp;AD$4,'2. หน้างบรายจ่าย'!$C:$K,9,0)))</f>
        <v>0</v>
      </c>
      <c r="AE51" s="337">
        <f>IF($C51="",0,IF(ISNA(VLOOKUP($A51&amp;"_"&amp;AE$4,'2. หน้างบรายจ่าย'!$C:$K,7,0)),0,VLOOKUP($A51&amp;"_"&amp;AE$4,'2. หน้างบรายจ่าย'!$C:$K,7,0)))</f>
        <v>0</v>
      </c>
      <c r="AF51" s="342">
        <f>IF($C51="",0,IF(ISNA(VLOOKUP($A51&amp;"_"&amp;AF$4,'2. หน้างบรายจ่าย'!$C:$K,8,0)),0,VLOOKUP($A51&amp;"_"&amp;AF$4,'2. หน้างบรายจ่าย'!$C:$K,8,0)))</f>
        <v>0</v>
      </c>
      <c r="AG51" s="340">
        <f>IF($C51="",0,IF(ISNA(VLOOKUP($A51&amp;"_"&amp;AG$4,'2. หน้างบรายจ่าย'!$C:$K,9,0)),0,VLOOKUP($A51&amp;"_"&amp;AG$4,'2. หน้างบรายจ่าย'!$C:$K,9,0)))</f>
        <v>0</v>
      </c>
      <c r="AH51" s="341">
        <f>IF($C51="",0,IF(ISNA(VLOOKUP($A51&amp;"_"&amp;AH$4,'2. หน้างบรายจ่าย'!$C:$K,7,0)),0,VLOOKUP($A51&amp;"_"&amp;AH$4,'2. หน้างบรายจ่าย'!$C:$K,7,0)))</f>
        <v>0</v>
      </c>
      <c r="AI51" s="342">
        <f>IF($C51="",0,IF(ISNA(VLOOKUP($A51&amp;"_"&amp;AI$4,'2. หน้างบรายจ่าย'!$C:$K,8,0)),0,VLOOKUP($A51&amp;"_"&amp;AI$4,'2. หน้างบรายจ่าย'!$C:$K,8,0)))</f>
        <v>0</v>
      </c>
      <c r="AJ51" s="340">
        <f>IF($C51="",0,IF(ISNA(VLOOKUP($A51&amp;"_"&amp;AJ$4,'2. หน้างบรายจ่าย'!$C:$K,9,0)),0,VLOOKUP($A51&amp;"_"&amp;AJ$4,'2. หน้างบรายจ่าย'!$C:$K,9,0)))</f>
        <v>0</v>
      </c>
      <c r="AK51" s="341">
        <f>IF($C51="",0,IF(ISNA(VLOOKUP($A51&amp;"_"&amp;AK$4,'2. หน้างบรายจ่าย'!$C:$K,7,0)),0,VLOOKUP($A51&amp;"_"&amp;AK$4,'2. หน้างบรายจ่าย'!$C:$K,7,0)))</f>
        <v>0</v>
      </c>
      <c r="AL51" s="342">
        <f>IF($C51="",0,IF(ISNA(VLOOKUP($A51&amp;"_"&amp;AL$4,'2. หน้างบรายจ่าย'!$C:$K,8,0)),0,VLOOKUP($A51&amp;"_"&amp;AL$4,'2. หน้างบรายจ่าย'!$C:$K,8,0)))</f>
        <v>0</v>
      </c>
      <c r="AM51" s="340">
        <f>IF($C51="",0,IF(ISNA(VLOOKUP($A51&amp;"_"&amp;AM$4,'2. หน้างบรายจ่าย'!$C:$K,9,0)),0,VLOOKUP($A51&amp;"_"&amp;AM$4,'2. หน้างบรายจ่าย'!$C:$K,9,0)))</f>
        <v>0</v>
      </c>
      <c r="AP51" s="171" t="str">
        <f t="shared" si="25"/>
        <v>No</v>
      </c>
    </row>
    <row r="52" spans="1:42" ht="31.5" hidden="1" customHeight="1">
      <c r="A52" s="210">
        <v>23</v>
      </c>
      <c r="B52" s="336" t="str">
        <f>IF(ISNA(VLOOKUP(A52,'2. หน้างบรายจ่าย'!$A:$K,4,0)),"",TEXT(VLOOKUP(A52,'2. หน้างบรายจ่าย'!$A:$K,4,0),"dd ดดด yy"))</f>
        <v/>
      </c>
      <c r="C52" s="335" t="str">
        <f>IF(ISNA(VLOOKUP(A52,'2. หน้างบรายจ่าย'!$A:$K,8,0)),"",VLOOKUP(A52,'2. หน้างบรายจ่าย'!$A:$K,8,0))</f>
        <v/>
      </c>
      <c r="D52" s="274">
        <f t="shared" si="22"/>
        <v>0</v>
      </c>
      <c r="E52" s="275">
        <f t="shared" si="23"/>
        <v>0</v>
      </c>
      <c r="F52" s="274">
        <f t="shared" si="24"/>
        <v>0</v>
      </c>
      <c r="G52" s="338">
        <f>IF($C52="",0,IF(ISNA(VLOOKUP($A52&amp;"_"&amp;G$4,'2. หน้างบรายจ่าย'!$C:$K,7,0)),0,VLOOKUP($A52&amp;"_"&amp;G$4,'2. หน้างบรายจ่าย'!$C:$K,7,0)))</f>
        <v>0</v>
      </c>
      <c r="H52" s="338">
        <f>IF($C52="",0,IF(ISNA(VLOOKUP($A52&amp;"_"&amp;H$4,'2. หน้างบรายจ่าย'!$C:$K,8,0)),0,VLOOKUP($A52&amp;"_"&amp;H$4,'2. หน้างบรายจ่าย'!$C:$K,8,0)))</f>
        <v>0</v>
      </c>
      <c r="I52" s="338">
        <f>IF($C52="",0,IF(ISNA(VLOOKUP($A52&amp;"_"&amp;I$4,'2. หน้างบรายจ่าย'!$C:$K,9,0)),0,VLOOKUP($A52&amp;"_"&amp;I$4,'2. หน้างบรายจ่าย'!$C:$K,9,0)))</f>
        <v>0</v>
      </c>
      <c r="J52" s="338">
        <f>IF($C52="",0,IF(ISNA(VLOOKUP($A52&amp;"_"&amp;J$4,'2. หน้างบรายจ่าย'!$C:$K,7,0)),0,VLOOKUP($A52&amp;"_"&amp;J$4,'2. หน้างบรายจ่าย'!$C:$K,7,0)))</f>
        <v>0</v>
      </c>
      <c r="K52" s="338">
        <f>IF($C52="",0,IF(ISNA(VLOOKUP($A52&amp;"_"&amp;K$4,'2. หน้างบรายจ่าย'!$C:$K,8,0)),0,VLOOKUP($A52&amp;"_"&amp;K$4,'2. หน้างบรายจ่าย'!$C:$K,8,0)))</f>
        <v>0</v>
      </c>
      <c r="L52" s="338">
        <f>IF($C52="",0,IF(ISNA(VLOOKUP($A52&amp;"_"&amp;L$4,'2. หน้างบรายจ่าย'!$C:$K,9,0)),0,VLOOKUP($A52&amp;"_"&amp;L$4,'2. หน้างบรายจ่าย'!$C:$K,9,0)))</f>
        <v>0</v>
      </c>
      <c r="M52" s="338">
        <f>IF($C52="",0,IF(ISNA(VLOOKUP($A52&amp;"_"&amp;M$4,'2. หน้างบรายจ่าย'!$C:$K,7,0)),0,VLOOKUP($A52&amp;"_"&amp;M$4,'2. หน้างบรายจ่าย'!$C:$K,7,0)))</f>
        <v>0</v>
      </c>
      <c r="N52" s="338">
        <f>IF($C52="",0,IF(ISNA(VLOOKUP($A52&amp;"_"&amp;N$4,'2. หน้างบรายจ่าย'!$C:$K,8,0)),0,VLOOKUP($A52&amp;"_"&amp;N$4,'2. หน้างบรายจ่าย'!$C:$K,8,0)))</f>
        <v>0</v>
      </c>
      <c r="O52" s="340">
        <f>IF($C52="",0,IF(ISNA(VLOOKUP($A52&amp;"_"&amp;O$4,'2. หน้างบรายจ่าย'!$C:$K,9,0)),0,VLOOKUP($A52&amp;"_"&amp;O$4,'2. หน้างบรายจ่าย'!$C:$K,9,0)))</f>
        <v>0</v>
      </c>
      <c r="P52" s="337">
        <f>IF($C52="",0,IF(ISNA(VLOOKUP($A52&amp;"_"&amp;P$4,'2. หน้างบรายจ่าย'!$C:$K,7,0)),0,VLOOKUP($A52&amp;"_"&amp;P$4,'2. หน้างบรายจ่าย'!$C:$K,7,0)))</f>
        <v>0</v>
      </c>
      <c r="Q52" s="341">
        <f>IF($C52="",0,IF(ISNA(VLOOKUP($A52&amp;"_"&amp;Q$4,'2. หน้างบรายจ่าย'!$C:$K,8,0)),0,VLOOKUP($A52&amp;"_"&amp;Q$4,'2. หน้างบรายจ่าย'!$C:$K,8,0)))</f>
        <v>0</v>
      </c>
      <c r="R52" s="338">
        <f>IF($C52="",0,IF(ISNA(VLOOKUP($A52&amp;"_"&amp;R$4,'2. หน้างบรายจ่าย'!$C:$K,9,0)),0,VLOOKUP($A52&amp;"_"&amp;R$4,'2. หน้างบรายจ่าย'!$C:$K,9,0)))</f>
        <v>0</v>
      </c>
      <c r="S52" s="338">
        <f>IF($C52="",0,IF(ISNA(VLOOKUP($A52&amp;"_"&amp;S$4,'2. หน้างบรายจ่าย'!$C:$K,7,0)),0,VLOOKUP($A52&amp;"_"&amp;S$4,'2. หน้างบรายจ่าย'!$C:$K,7,0)))</f>
        <v>0</v>
      </c>
      <c r="T52" s="338">
        <f>IF($C52="",0,IF(ISNA(VLOOKUP($A52&amp;"_"&amp;T$4,'2. หน้างบรายจ่าย'!$C:$K,8,0)),0,VLOOKUP($A52&amp;"_"&amp;T$4,'2. หน้างบรายจ่าย'!$C:$K,8,0)))</f>
        <v>0</v>
      </c>
      <c r="U52" s="338">
        <f>IF($C52="",0,IF(ISNA(VLOOKUP($A52&amp;"_"&amp;U$4,'2. หน้างบรายจ่าย'!$C:$K,9,0)),0,VLOOKUP($A52&amp;"_"&amp;U$4,'2. หน้างบรายจ่าย'!$C:$K,9,0)))</f>
        <v>0</v>
      </c>
      <c r="V52" s="338">
        <f>IF($C52="",0,IF(ISNA(VLOOKUP($A52&amp;"_"&amp;V$4,'2. หน้างบรายจ่าย'!$C:$K,7,0)),0,VLOOKUP($A52&amp;"_"&amp;V$4,'2. หน้างบรายจ่าย'!$C:$K,7,0)))</f>
        <v>0</v>
      </c>
      <c r="W52" s="338">
        <f>IF($C52="",0,IF(ISNA(VLOOKUP($A52&amp;"_"&amp;W$4,'2. หน้างบรายจ่าย'!$C:$K,8,0)),0,VLOOKUP($A52&amp;"_"&amp;W$4,'2. หน้างบรายจ่าย'!$C:$K,8,0)))</f>
        <v>0</v>
      </c>
      <c r="X52" s="338">
        <f>IF($C52="",0,IF(ISNA(VLOOKUP($A52&amp;"_"&amp;X$4,'2. หน้างบรายจ่าย'!$C:$K,9,0)),0,VLOOKUP($A52&amp;"_"&amp;X$4,'2. หน้างบรายจ่าย'!$C:$K,9,0)))</f>
        <v>0</v>
      </c>
      <c r="Y52" s="338">
        <f>IF($C52="",0,IF(ISNA(VLOOKUP($A52&amp;"_"&amp;Y$4,'2. หน้างบรายจ่าย'!$C:$K,7,0)),0,VLOOKUP($A52&amp;"_"&amp;Y$4,'2. หน้างบรายจ่าย'!$C:$K,7,0)))</f>
        <v>0</v>
      </c>
      <c r="Z52" s="338">
        <f>IF($C52="",0,IF(ISNA(VLOOKUP($A52&amp;"_"&amp;Z$4,'2. หน้างบรายจ่าย'!$C:$K,8,0)),0,VLOOKUP($A52&amp;"_"&amp;Z$4,'2. หน้างบรายจ่าย'!$C:$K,8,0)))</f>
        <v>0</v>
      </c>
      <c r="AA52" s="338">
        <f>IF($C52="",0,IF(ISNA(VLOOKUP($A52&amp;"_"&amp;AA$4,'2. หน้างบรายจ่าย'!$C:$K,9,0)),0,VLOOKUP($A52&amp;"_"&amp;AA$4,'2. หน้างบรายจ่าย'!$C:$K,9,0)))</f>
        <v>0</v>
      </c>
      <c r="AB52" s="338">
        <f>IF($C52="",0,IF(ISNA(VLOOKUP($A52&amp;"_"&amp;AB$4,'2. หน้างบรายจ่าย'!$C:$K,7,0)),0,VLOOKUP($A52&amp;"_"&amp;AB$4,'2. หน้างบรายจ่าย'!$C:$K,7,0)))</f>
        <v>0</v>
      </c>
      <c r="AC52" s="339">
        <f>IF($C52="",0,IF(ISNA(VLOOKUP($A52&amp;"_"&amp;AC$4,'2. หน้างบรายจ่าย'!$C:$K,8,0)),0,VLOOKUP($A52&amp;"_"&amp;AC$4,'2. หน้างบรายจ่าย'!$C:$K,8,0)))</f>
        <v>0</v>
      </c>
      <c r="AD52" s="340">
        <f>IF($C52="",0,IF(ISNA(VLOOKUP($A52&amp;"_"&amp;AD$4,'2. หน้างบรายจ่าย'!$C:$K,9,0)),0,VLOOKUP($A52&amp;"_"&amp;AD$4,'2. หน้างบรายจ่าย'!$C:$K,9,0)))</f>
        <v>0</v>
      </c>
      <c r="AE52" s="337">
        <f>IF($C52="",0,IF(ISNA(VLOOKUP($A52&amp;"_"&amp;AE$4,'2. หน้างบรายจ่าย'!$C:$K,7,0)),0,VLOOKUP($A52&amp;"_"&amp;AE$4,'2. หน้างบรายจ่าย'!$C:$K,7,0)))</f>
        <v>0</v>
      </c>
      <c r="AF52" s="342">
        <f>IF($C52="",0,IF(ISNA(VLOOKUP($A52&amp;"_"&amp;AF$4,'2. หน้างบรายจ่าย'!$C:$K,8,0)),0,VLOOKUP($A52&amp;"_"&amp;AF$4,'2. หน้างบรายจ่าย'!$C:$K,8,0)))</f>
        <v>0</v>
      </c>
      <c r="AG52" s="340">
        <f>IF($C52="",0,IF(ISNA(VLOOKUP($A52&amp;"_"&amp;AG$4,'2. หน้างบรายจ่าย'!$C:$K,9,0)),0,VLOOKUP($A52&amp;"_"&amp;AG$4,'2. หน้างบรายจ่าย'!$C:$K,9,0)))</f>
        <v>0</v>
      </c>
      <c r="AH52" s="341">
        <f>IF($C52="",0,IF(ISNA(VLOOKUP($A52&amp;"_"&amp;AH$4,'2. หน้างบรายจ่าย'!$C:$K,7,0)),0,VLOOKUP($A52&amp;"_"&amp;AH$4,'2. หน้างบรายจ่าย'!$C:$K,7,0)))</f>
        <v>0</v>
      </c>
      <c r="AI52" s="342">
        <f>IF($C52="",0,IF(ISNA(VLOOKUP($A52&amp;"_"&amp;AI$4,'2. หน้างบรายจ่าย'!$C:$K,8,0)),0,VLOOKUP($A52&amp;"_"&amp;AI$4,'2. หน้างบรายจ่าย'!$C:$K,8,0)))</f>
        <v>0</v>
      </c>
      <c r="AJ52" s="340">
        <f>IF($C52="",0,IF(ISNA(VLOOKUP($A52&amp;"_"&amp;AJ$4,'2. หน้างบรายจ่าย'!$C:$K,9,0)),0,VLOOKUP($A52&amp;"_"&amp;AJ$4,'2. หน้างบรายจ่าย'!$C:$K,9,0)))</f>
        <v>0</v>
      </c>
      <c r="AK52" s="341">
        <f>IF($C52="",0,IF(ISNA(VLOOKUP($A52&amp;"_"&amp;AK$4,'2. หน้างบรายจ่าย'!$C:$K,7,0)),0,VLOOKUP($A52&amp;"_"&amp;AK$4,'2. หน้างบรายจ่าย'!$C:$K,7,0)))</f>
        <v>0</v>
      </c>
      <c r="AL52" s="342">
        <f>IF($C52="",0,IF(ISNA(VLOOKUP($A52&amp;"_"&amp;AL$4,'2. หน้างบรายจ่าย'!$C:$K,8,0)),0,VLOOKUP($A52&amp;"_"&amp;AL$4,'2. หน้างบรายจ่าย'!$C:$K,8,0)))</f>
        <v>0</v>
      </c>
      <c r="AM52" s="340">
        <f>IF($C52="",0,IF(ISNA(VLOOKUP($A52&amp;"_"&amp;AM$4,'2. หน้างบรายจ่าย'!$C:$K,9,0)),0,VLOOKUP($A52&amp;"_"&amp;AM$4,'2. หน้างบรายจ่าย'!$C:$K,9,0)))</f>
        <v>0</v>
      </c>
      <c r="AP52" s="171" t="str">
        <f t="shared" si="25"/>
        <v>No</v>
      </c>
    </row>
    <row r="53" spans="1:42" ht="25.5" hidden="1" customHeight="1">
      <c r="A53" s="210">
        <v>24</v>
      </c>
      <c r="B53" s="336" t="str">
        <f>IF(ISNA(VLOOKUP(A53,'2. หน้างบรายจ่าย'!$A:$K,4,0)),"",TEXT(VLOOKUP(A53,'2. หน้างบรายจ่าย'!$A:$K,4,0),"dd ดดด yy"))</f>
        <v/>
      </c>
      <c r="C53" s="335" t="str">
        <f>IF(ISNA(VLOOKUP(A53,'2. หน้างบรายจ่าย'!$A:$K,8,0)),"",VLOOKUP(A53,'2. หน้างบรายจ่าย'!$A:$K,8,0))</f>
        <v/>
      </c>
      <c r="D53" s="274">
        <f t="shared" si="22"/>
        <v>0</v>
      </c>
      <c r="E53" s="275">
        <f t="shared" si="23"/>
        <v>0</v>
      </c>
      <c r="F53" s="274">
        <f t="shared" si="24"/>
        <v>0</v>
      </c>
      <c r="G53" s="338">
        <f>IF($C53="",0,IF(ISNA(VLOOKUP($A53&amp;"_"&amp;G$4,'2. หน้างบรายจ่าย'!$C:$K,7,0)),0,VLOOKUP($A53&amp;"_"&amp;G$4,'2. หน้างบรายจ่าย'!$C:$K,7,0)))</f>
        <v>0</v>
      </c>
      <c r="H53" s="338">
        <f>IF($C53="",0,IF(ISNA(VLOOKUP($A53&amp;"_"&amp;H$4,'2. หน้างบรายจ่าย'!$C:$K,8,0)),0,VLOOKUP($A53&amp;"_"&amp;H$4,'2. หน้างบรายจ่าย'!$C:$K,8,0)))</f>
        <v>0</v>
      </c>
      <c r="I53" s="338">
        <f>IF($C53="",0,IF(ISNA(VLOOKUP($A53&amp;"_"&amp;I$4,'2. หน้างบรายจ่าย'!$C:$K,9,0)),0,VLOOKUP($A53&amp;"_"&amp;I$4,'2. หน้างบรายจ่าย'!$C:$K,9,0)))</f>
        <v>0</v>
      </c>
      <c r="J53" s="338">
        <f>IF($C53="",0,IF(ISNA(VLOOKUP($A53&amp;"_"&amp;J$4,'2. หน้างบรายจ่าย'!$C:$K,7,0)),0,VLOOKUP($A53&amp;"_"&amp;J$4,'2. หน้างบรายจ่าย'!$C:$K,7,0)))</f>
        <v>0</v>
      </c>
      <c r="K53" s="338">
        <f>IF($C53="",0,IF(ISNA(VLOOKUP($A53&amp;"_"&amp;K$4,'2. หน้างบรายจ่าย'!$C:$K,8,0)),0,VLOOKUP($A53&amp;"_"&amp;K$4,'2. หน้างบรายจ่าย'!$C:$K,8,0)))</f>
        <v>0</v>
      </c>
      <c r="L53" s="338">
        <f>IF($C53="",0,IF(ISNA(VLOOKUP($A53&amp;"_"&amp;L$4,'2. หน้างบรายจ่าย'!$C:$K,9,0)),0,VLOOKUP($A53&amp;"_"&amp;L$4,'2. หน้างบรายจ่าย'!$C:$K,9,0)))</f>
        <v>0</v>
      </c>
      <c r="M53" s="338">
        <f>IF($C53="",0,IF(ISNA(VLOOKUP($A53&amp;"_"&amp;M$4,'2. หน้างบรายจ่าย'!$C:$K,7,0)),0,VLOOKUP($A53&amp;"_"&amp;M$4,'2. หน้างบรายจ่าย'!$C:$K,7,0)))</f>
        <v>0</v>
      </c>
      <c r="N53" s="338">
        <f>IF($C53="",0,IF(ISNA(VLOOKUP($A53&amp;"_"&amp;N$4,'2. หน้างบรายจ่าย'!$C:$K,8,0)),0,VLOOKUP($A53&amp;"_"&amp;N$4,'2. หน้างบรายจ่าย'!$C:$K,8,0)))</f>
        <v>0</v>
      </c>
      <c r="O53" s="340">
        <f>IF($C53="",0,IF(ISNA(VLOOKUP($A53&amp;"_"&amp;O$4,'2. หน้างบรายจ่าย'!$C:$K,9,0)),0,VLOOKUP($A53&amp;"_"&amp;O$4,'2. หน้างบรายจ่าย'!$C:$K,9,0)))</f>
        <v>0</v>
      </c>
      <c r="P53" s="337">
        <f>IF($C53="",0,IF(ISNA(VLOOKUP($A53&amp;"_"&amp;P$4,'2. หน้างบรายจ่าย'!$C:$K,7,0)),0,VLOOKUP($A53&amp;"_"&amp;P$4,'2. หน้างบรายจ่าย'!$C:$K,7,0)))</f>
        <v>0</v>
      </c>
      <c r="Q53" s="341">
        <f>IF($C53="",0,IF(ISNA(VLOOKUP($A53&amp;"_"&amp;Q$4,'2. หน้างบรายจ่าย'!$C:$K,8,0)),0,VLOOKUP($A53&amp;"_"&amp;Q$4,'2. หน้างบรายจ่าย'!$C:$K,8,0)))</f>
        <v>0</v>
      </c>
      <c r="R53" s="338">
        <f>IF($C53="",0,IF(ISNA(VLOOKUP($A53&amp;"_"&amp;R$4,'2. หน้างบรายจ่าย'!$C:$K,9,0)),0,VLOOKUP($A53&amp;"_"&amp;R$4,'2. หน้างบรายจ่าย'!$C:$K,9,0)))</f>
        <v>0</v>
      </c>
      <c r="S53" s="338">
        <f>IF($C53="",0,IF(ISNA(VLOOKUP($A53&amp;"_"&amp;S$4,'2. หน้างบรายจ่าย'!$C:$K,7,0)),0,VLOOKUP($A53&amp;"_"&amp;S$4,'2. หน้างบรายจ่าย'!$C:$K,7,0)))</f>
        <v>0</v>
      </c>
      <c r="T53" s="338">
        <f>IF($C53="",0,IF(ISNA(VLOOKUP($A53&amp;"_"&amp;T$4,'2. หน้างบรายจ่าย'!$C:$K,8,0)),0,VLOOKUP($A53&amp;"_"&amp;T$4,'2. หน้างบรายจ่าย'!$C:$K,8,0)))</f>
        <v>0</v>
      </c>
      <c r="U53" s="338">
        <f>IF($C53="",0,IF(ISNA(VLOOKUP($A53&amp;"_"&amp;U$4,'2. หน้างบรายจ่าย'!$C:$K,9,0)),0,VLOOKUP($A53&amp;"_"&amp;U$4,'2. หน้างบรายจ่าย'!$C:$K,9,0)))</f>
        <v>0</v>
      </c>
      <c r="V53" s="338">
        <f>IF($C53="",0,IF(ISNA(VLOOKUP($A53&amp;"_"&amp;V$4,'2. หน้างบรายจ่าย'!$C:$K,7,0)),0,VLOOKUP($A53&amp;"_"&amp;V$4,'2. หน้างบรายจ่าย'!$C:$K,7,0)))</f>
        <v>0</v>
      </c>
      <c r="W53" s="338">
        <f>IF($C53="",0,IF(ISNA(VLOOKUP($A53&amp;"_"&amp;W$4,'2. หน้างบรายจ่าย'!$C:$K,8,0)),0,VLOOKUP($A53&amp;"_"&amp;W$4,'2. หน้างบรายจ่าย'!$C:$K,8,0)))</f>
        <v>0</v>
      </c>
      <c r="X53" s="338">
        <f>IF($C53="",0,IF(ISNA(VLOOKUP($A53&amp;"_"&amp;X$4,'2. หน้างบรายจ่าย'!$C:$K,9,0)),0,VLOOKUP($A53&amp;"_"&amp;X$4,'2. หน้างบรายจ่าย'!$C:$K,9,0)))</f>
        <v>0</v>
      </c>
      <c r="Y53" s="338">
        <f>IF($C53="",0,IF(ISNA(VLOOKUP($A53&amp;"_"&amp;Y$4,'2. หน้างบรายจ่าย'!$C:$K,7,0)),0,VLOOKUP($A53&amp;"_"&amp;Y$4,'2. หน้างบรายจ่าย'!$C:$K,7,0)))</f>
        <v>0</v>
      </c>
      <c r="Z53" s="338">
        <f>IF($C53="",0,IF(ISNA(VLOOKUP($A53&amp;"_"&amp;Z$4,'2. หน้างบรายจ่าย'!$C:$K,8,0)),0,VLOOKUP($A53&amp;"_"&amp;Z$4,'2. หน้างบรายจ่าย'!$C:$K,8,0)))</f>
        <v>0</v>
      </c>
      <c r="AA53" s="338">
        <f>IF($C53="",0,IF(ISNA(VLOOKUP($A53&amp;"_"&amp;AA$4,'2. หน้างบรายจ่าย'!$C:$K,9,0)),0,VLOOKUP($A53&amp;"_"&amp;AA$4,'2. หน้างบรายจ่าย'!$C:$K,9,0)))</f>
        <v>0</v>
      </c>
      <c r="AB53" s="338">
        <f>IF($C53="",0,IF(ISNA(VLOOKUP($A53&amp;"_"&amp;AB$4,'2. หน้างบรายจ่าย'!$C:$K,7,0)),0,VLOOKUP($A53&amp;"_"&amp;AB$4,'2. หน้างบรายจ่าย'!$C:$K,7,0)))</f>
        <v>0</v>
      </c>
      <c r="AC53" s="339">
        <f>IF($C53="",0,IF(ISNA(VLOOKUP($A53&amp;"_"&amp;AC$4,'2. หน้างบรายจ่าย'!$C:$K,8,0)),0,VLOOKUP($A53&amp;"_"&amp;AC$4,'2. หน้างบรายจ่าย'!$C:$K,8,0)))</f>
        <v>0</v>
      </c>
      <c r="AD53" s="340">
        <f>IF($C53="",0,IF(ISNA(VLOOKUP($A53&amp;"_"&amp;AD$4,'2. หน้างบรายจ่าย'!$C:$K,9,0)),0,VLOOKUP($A53&amp;"_"&amp;AD$4,'2. หน้างบรายจ่าย'!$C:$K,9,0)))</f>
        <v>0</v>
      </c>
      <c r="AE53" s="337">
        <f>IF($C53="",0,IF(ISNA(VLOOKUP($A53&amp;"_"&amp;AE$4,'2. หน้างบรายจ่าย'!$C:$K,7,0)),0,VLOOKUP($A53&amp;"_"&amp;AE$4,'2. หน้างบรายจ่าย'!$C:$K,7,0)))</f>
        <v>0</v>
      </c>
      <c r="AF53" s="342">
        <f>IF($C53="",0,IF(ISNA(VLOOKUP($A53&amp;"_"&amp;AF$4,'2. หน้างบรายจ่าย'!$C:$K,8,0)),0,VLOOKUP($A53&amp;"_"&amp;AF$4,'2. หน้างบรายจ่าย'!$C:$K,8,0)))</f>
        <v>0</v>
      </c>
      <c r="AG53" s="340">
        <f>IF($C53="",0,IF(ISNA(VLOOKUP($A53&amp;"_"&amp;AG$4,'2. หน้างบรายจ่าย'!$C:$K,9,0)),0,VLOOKUP($A53&amp;"_"&amp;AG$4,'2. หน้างบรายจ่าย'!$C:$K,9,0)))</f>
        <v>0</v>
      </c>
      <c r="AH53" s="341">
        <f>IF($C53="",0,IF(ISNA(VLOOKUP($A53&amp;"_"&amp;AH$4,'2. หน้างบรายจ่าย'!$C:$K,7,0)),0,VLOOKUP($A53&amp;"_"&amp;AH$4,'2. หน้างบรายจ่าย'!$C:$K,7,0)))</f>
        <v>0</v>
      </c>
      <c r="AI53" s="342">
        <f>IF($C53="",0,IF(ISNA(VLOOKUP($A53&amp;"_"&amp;AI$4,'2. หน้างบรายจ่าย'!$C:$K,8,0)),0,VLOOKUP($A53&amp;"_"&amp;AI$4,'2. หน้างบรายจ่าย'!$C:$K,8,0)))</f>
        <v>0</v>
      </c>
      <c r="AJ53" s="340">
        <f>IF($C53="",0,IF(ISNA(VLOOKUP($A53&amp;"_"&amp;AJ$4,'2. หน้างบรายจ่าย'!$C:$K,9,0)),0,VLOOKUP($A53&amp;"_"&amp;AJ$4,'2. หน้างบรายจ่าย'!$C:$K,9,0)))</f>
        <v>0</v>
      </c>
      <c r="AK53" s="341">
        <f>IF($C53="",0,IF(ISNA(VLOOKUP($A53&amp;"_"&amp;AK$4,'2. หน้างบรายจ่าย'!$C:$K,7,0)),0,VLOOKUP($A53&amp;"_"&amp;AK$4,'2. หน้างบรายจ่าย'!$C:$K,7,0)))</f>
        <v>0</v>
      </c>
      <c r="AL53" s="342">
        <f>IF($C53="",0,IF(ISNA(VLOOKUP($A53&amp;"_"&amp;AL$4,'2. หน้างบรายจ่าย'!$C:$K,8,0)),0,VLOOKUP($A53&amp;"_"&amp;AL$4,'2. หน้างบรายจ่าย'!$C:$K,8,0)))</f>
        <v>0</v>
      </c>
      <c r="AM53" s="340">
        <f>IF($C53="",0,IF(ISNA(VLOOKUP($A53&amp;"_"&amp;AM$4,'2. หน้างบรายจ่าย'!$C:$K,9,0)),0,VLOOKUP($A53&amp;"_"&amp;AM$4,'2. หน้างบรายจ่าย'!$C:$K,9,0)))</f>
        <v>0</v>
      </c>
      <c r="AP53" s="171" t="str">
        <f t="shared" si="25"/>
        <v>No</v>
      </c>
    </row>
    <row r="54" spans="1:42" ht="24.75" hidden="1" customHeight="1">
      <c r="A54" s="210">
        <v>25</v>
      </c>
      <c r="B54" s="336" t="str">
        <f>IF(ISNA(VLOOKUP(A54,'2. หน้างบรายจ่าย'!$A:$K,4,0)),"",TEXT(VLOOKUP(A54,'2. หน้างบรายจ่าย'!$A:$K,4,0),"dd ดดด yy"))</f>
        <v/>
      </c>
      <c r="C54" s="335" t="str">
        <f>IF(ISNA(VLOOKUP(A54,'2. หน้างบรายจ่าย'!$A:$K,8,0)),"",VLOOKUP(A54,'2. หน้างบรายจ่าย'!$A:$K,8,0))</f>
        <v/>
      </c>
      <c r="D54" s="274">
        <f t="shared" si="22"/>
        <v>0</v>
      </c>
      <c r="E54" s="275">
        <f t="shared" si="23"/>
        <v>0</v>
      </c>
      <c r="F54" s="274">
        <f t="shared" si="24"/>
        <v>0</v>
      </c>
      <c r="G54" s="338">
        <f>IF($C54="",0,IF(ISNA(VLOOKUP($A54&amp;"_"&amp;G$4,'2. หน้างบรายจ่าย'!$C:$K,7,0)),0,VLOOKUP($A54&amp;"_"&amp;G$4,'2. หน้างบรายจ่าย'!$C:$K,7,0)))</f>
        <v>0</v>
      </c>
      <c r="H54" s="338">
        <f>IF($C54="",0,IF(ISNA(VLOOKUP($A54&amp;"_"&amp;H$4,'2. หน้างบรายจ่าย'!$C:$K,8,0)),0,VLOOKUP($A54&amp;"_"&amp;H$4,'2. หน้างบรายจ่าย'!$C:$K,8,0)))</f>
        <v>0</v>
      </c>
      <c r="I54" s="338">
        <f>IF($C54="",0,IF(ISNA(VLOOKUP($A54&amp;"_"&amp;I$4,'2. หน้างบรายจ่าย'!$C:$K,9,0)),0,VLOOKUP($A54&amp;"_"&amp;I$4,'2. หน้างบรายจ่าย'!$C:$K,9,0)))</f>
        <v>0</v>
      </c>
      <c r="J54" s="338">
        <f>IF($C54="",0,IF(ISNA(VLOOKUP($A54&amp;"_"&amp;J$4,'2. หน้างบรายจ่าย'!$C:$K,7,0)),0,VLOOKUP($A54&amp;"_"&amp;J$4,'2. หน้างบรายจ่าย'!$C:$K,7,0)))</f>
        <v>0</v>
      </c>
      <c r="K54" s="338">
        <f>IF($C54="",0,IF(ISNA(VLOOKUP($A54&amp;"_"&amp;K$4,'2. หน้างบรายจ่าย'!$C:$K,8,0)),0,VLOOKUP($A54&amp;"_"&amp;K$4,'2. หน้างบรายจ่าย'!$C:$K,8,0)))</f>
        <v>0</v>
      </c>
      <c r="L54" s="338">
        <f>IF($C54="",0,IF(ISNA(VLOOKUP($A54&amp;"_"&amp;L$4,'2. หน้างบรายจ่าย'!$C:$K,9,0)),0,VLOOKUP($A54&amp;"_"&amp;L$4,'2. หน้างบรายจ่าย'!$C:$K,9,0)))</f>
        <v>0</v>
      </c>
      <c r="M54" s="338">
        <f>IF($C54="",0,IF(ISNA(VLOOKUP($A54&amp;"_"&amp;M$4,'2. หน้างบรายจ่าย'!$C:$K,7,0)),0,VLOOKUP($A54&amp;"_"&amp;M$4,'2. หน้างบรายจ่าย'!$C:$K,7,0)))</f>
        <v>0</v>
      </c>
      <c r="N54" s="338">
        <f>IF($C54="",0,IF(ISNA(VLOOKUP($A54&amp;"_"&amp;N$4,'2. หน้างบรายจ่าย'!$C:$K,8,0)),0,VLOOKUP($A54&amp;"_"&amp;N$4,'2. หน้างบรายจ่าย'!$C:$K,8,0)))</f>
        <v>0</v>
      </c>
      <c r="O54" s="340">
        <f>IF($C54="",0,IF(ISNA(VLOOKUP($A54&amp;"_"&amp;O$4,'2. หน้างบรายจ่าย'!$C:$K,9,0)),0,VLOOKUP($A54&amp;"_"&amp;O$4,'2. หน้างบรายจ่าย'!$C:$K,9,0)))</f>
        <v>0</v>
      </c>
      <c r="P54" s="337">
        <f>IF($C54="",0,IF(ISNA(VLOOKUP($A54&amp;"_"&amp;P$4,'2. หน้างบรายจ่าย'!$C:$K,7,0)),0,VLOOKUP($A54&amp;"_"&amp;P$4,'2. หน้างบรายจ่าย'!$C:$K,7,0)))</f>
        <v>0</v>
      </c>
      <c r="Q54" s="341">
        <f>IF($C54="",0,IF(ISNA(VLOOKUP($A54&amp;"_"&amp;Q$4,'2. หน้างบรายจ่าย'!$C:$K,8,0)),0,VLOOKUP($A54&amp;"_"&amp;Q$4,'2. หน้างบรายจ่าย'!$C:$K,8,0)))</f>
        <v>0</v>
      </c>
      <c r="R54" s="338">
        <f>IF($C54="",0,IF(ISNA(VLOOKUP($A54&amp;"_"&amp;R$4,'2. หน้างบรายจ่าย'!$C:$K,9,0)),0,VLOOKUP($A54&amp;"_"&amp;R$4,'2. หน้างบรายจ่าย'!$C:$K,9,0)))</f>
        <v>0</v>
      </c>
      <c r="S54" s="338">
        <f>IF($C54="",0,IF(ISNA(VLOOKUP($A54&amp;"_"&amp;S$4,'2. หน้างบรายจ่าย'!$C:$K,7,0)),0,VLOOKUP($A54&amp;"_"&amp;S$4,'2. หน้างบรายจ่าย'!$C:$K,7,0)))</f>
        <v>0</v>
      </c>
      <c r="T54" s="338">
        <f>IF($C54="",0,IF(ISNA(VLOOKUP($A54&amp;"_"&amp;T$4,'2. หน้างบรายจ่าย'!$C:$K,8,0)),0,VLOOKUP($A54&amp;"_"&amp;T$4,'2. หน้างบรายจ่าย'!$C:$K,8,0)))</f>
        <v>0</v>
      </c>
      <c r="U54" s="338">
        <f>IF($C54="",0,IF(ISNA(VLOOKUP($A54&amp;"_"&amp;U$4,'2. หน้างบรายจ่าย'!$C:$K,9,0)),0,VLOOKUP($A54&amp;"_"&amp;U$4,'2. หน้างบรายจ่าย'!$C:$K,9,0)))</f>
        <v>0</v>
      </c>
      <c r="V54" s="338">
        <f>IF($C54="",0,IF(ISNA(VLOOKUP($A54&amp;"_"&amp;V$4,'2. หน้างบรายจ่าย'!$C:$K,7,0)),0,VLOOKUP($A54&amp;"_"&amp;V$4,'2. หน้างบรายจ่าย'!$C:$K,7,0)))</f>
        <v>0</v>
      </c>
      <c r="W54" s="338">
        <f>IF($C54="",0,IF(ISNA(VLOOKUP($A54&amp;"_"&amp;W$4,'2. หน้างบรายจ่าย'!$C:$K,8,0)),0,VLOOKUP($A54&amp;"_"&amp;W$4,'2. หน้างบรายจ่าย'!$C:$K,8,0)))</f>
        <v>0</v>
      </c>
      <c r="X54" s="338">
        <f>IF($C54="",0,IF(ISNA(VLOOKUP($A54&amp;"_"&amp;X$4,'2. หน้างบรายจ่าย'!$C:$K,9,0)),0,VLOOKUP($A54&amp;"_"&amp;X$4,'2. หน้างบรายจ่าย'!$C:$K,9,0)))</f>
        <v>0</v>
      </c>
      <c r="Y54" s="338">
        <f>IF($C54="",0,IF(ISNA(VLOOKUP($A54&amp;"_"&amp;Y$4,'2. หน้างบรายจ่าย'!$C:$K,7,0)),0,VLOOKUP($A54&amp;"_"&amp;Y$4,'2. หน้างบรายจ่าย'!$C:$K,7,0)))</f>
        <v>0</v>
      </c>
      <c r="Z54" s="338">
        <f>IF($C54="",0,IF(ISNA(VLOOKUP($A54&amp;"_"&amp;Z$4,'2. หน้างบรายจ่าย'!$C:$K,8,0)),0,VLOOKUP($A54&amp;"_"&amp;Z$4,'2. หน้างบรายจ่าย'!$C:$K,8,0)))</f>
        <v>0</v>
      </c>
      <c r="AA54" s="338">
        <f>IF($C54="",0,IF(ISNA(VLOOKUP($A54&amp;"_"&amp;AA$4,'2. หน้างบรายจ่าย'!$C:$K,9,0)),0,VLOOKUP($A54&amp;"_"&amp;AA$4,'2. หน้างบรายจ่าย'!$C:$K,9,0)))</f>
        <v>0</v>
      </c>
      <c r="AB54" s="338">
        <f>IF($C54="",0,IF(ISNA(VLOOKUP($A54&amp;"_"&amp;AB$4,'2. หน้างบรายจ่าย'!$C:$K,7,0)),0,VLOOKUP($A54&amp;"_"&amp;AB$4,'2. หน้างบรายจ่าย'!$C:$K,7,0)))</f>
        <v>0</v>
      </c>
      <c r="AC54" s="339">
        <f>IF($C54="",0,IF(ISNA(VLOOKUP($A54&amp;"_"&amp;AC$4,'2. หน้างบรายจ่าย'!$C:$K,8,0)),0,VLOOKUP($A54&amp;"_"&amp;AC$4,'2. หน้างบรายจ่าย'!$C:$K,8,0)))</f>
        <v>0</v>
      </c>
      <c r="AD54" s="340">
        <f>IF($C54="",0,IF(ISNA(VLOOKUP($A54&amp;"_"&amp;AD$4,'2. หน้างบรายจ่าย'!$C:$K,9,0)),0,VLOOKUP($A54&amp;"_"&amp;AD$4,'2. หน้างบรายจ่าย'!$C:$K,9,0)))</f>
        <v>0</v>
      </c>
      <c r="AE54" s="337">
        <f>IF($C54="",0,IF(ISNA(VLOOKUP($A54&amp;"_"&amp;AE$4,'2. หน้างบรายจ่าย'!$C:$K,7,0)),0,VLOOKUP($A54&amp;"_"&amp;AE$4,'2. หน้างบรายจ่าย'!$C:$K,7,0)))</f>
        <v>0</v>
      </c>
      <c r="AF54" s="342">
        <f>IF($C54="",0,IF(ISNA(VLOOKUP($A54&amp;"_"&amp;AF$4,'2. หน้างบรายจ่าย'!$C:$K,8,0)),0,VLOOKUP($A54&amp;"_"&amp;AF$4,'2. หน้างบรายจ่าย'!$C:$K,8,0)))</f>
        <v>0</v>
      </c>
      <c r="AG54" s="340">
        <f>IF($C54="",0,IF(ISNA(VLOOKUP($A54&amp;"_"&amp;AG$4,'2. หน้างบรายจ่าย'!$C:$K,9,0)),0,VLOOKUP($A54&amp;"_"&amp;AG$4,'2. หน้างบรายจ่าย'!$C:$K,9,0)))</f>
        <v>0</v>
      </c>
      <c r="AH54" s="341">
        <f>IF($C54="",0,IF(ISNA(VLOOKUP($A54&amp;"_"&amp;AH$4,'2. หน้างบรายจ่าย'!$C:$K,7,0)),0,VLOOKUP($A54&amp;"_"&amp;AH$4,'2. หน้างบรายจ่าย'!$C:$K,7,0)))</f>
        <v>0</v>
      </c>
      <c r="AI54" s="342">
        <f>IF($C54="",0,IF(ISNA(VLOOKUP($A54&amp;"_"&amp;AI$4,'2. หน้างบรายจ่าย'!$C:$K,8,0)),0,VLOOKUP($A54&amp;"_"&amp;AI$4,'2. หน้างบรายจ่าย'!$C:$K,8,0)))</f>
        <v>0</v>
      </c>
      <c r="AJ54" s="340">
        <f>IF($C54="",0,IF(ISNA(VLOOKUP($A54&amp;"_"&amp;AJ$4,'2. หน้างบรายจ่าย'!$C:$K,9,0)),0,VLOOKUP($A54&amp;"_"&amp;AJ$4,'2. หน้างบรายจ่าย'!$C:$K,9,0)))</f>
        <v>0</v>
      </c>
      <c r="AK54" s="341">
        <f>IF($C54="",0,IF(ISNA(VLOOKUP($A54&amp;"_"&amp;AK$4,'2. หน้างบรายจ่าย'!$C:$K,7,0)),0,VLOOKUP($A54&amp;"_"&amp;AK$4,'2. หน้างบรายจ่าย'!$C:$K,7,0)))</f>
        <v>0</v>
      </c>
      <c r="AL54" s="342">
        <f>IF($C54="",0,IF(ISNA(VLOOKUP($A54&amp;"_"&amp;AL$4,'2. หน้างบรายจ่าย'!$C:$K,8,0)),0,VLOOKUP($A54&amp;"_"&amp;AL$4,'2. หน้างบรายจ่าย'!$C:$K,8,0)))</f>
        <v>0</v>
      </c>
      <c r="AM54" s="340">
        <f>IF($C54="",0,IF(ISNA(VLOOKUP($A54&amp;"_"&amp;AM$4,'2. หน้างบรายจ่าย'!$C:$K,9,0)),0,VLOOKUP($A54&amp;"_"&amp;AM$4,'2. หน้างบรายจ่าย'!$C:$K,9,0)))</f>
        <v>0</v>
      </c>
      <c r="AP54" s="171" t="str">
        <f t="shared" si="25"/>
        <v>No</v>
      </c>
    </row>
    <row r="55" spans="1:42" ht="27" hidden="1">
      <c r="A55" s="210">
        <v>26</v>
      </c>
      <c r="B55" s="336" t="str">
        <f>IF(ISNA(VLOOKUP(A55,'2. หน้างบรายจ่าย'!$A:$K,4,0)),"",TEXT(VLOOKUP(A55,'2. หน้างบรายจ่าย'!$A:$K,4,0),"dd ดดด yy"))</f>
        <v/>
      </c>
      <c r="C55" s="335" t="str">
        <f>IF(ISNA(VLOOKUP(A55,'2. หน้างบรายจ่าย'!$A:$K,8,0)),"",VLOOKUP(A55,'2. หน้างบรายจ่าย'!$A:$K,8,0))</f>
        <v/>
      </c>
      <c r="D55" s="274">
        <f t="shared" si="22"/>
        <v>0</v>
      </c>
      <c r="E55" s="275">
        <f t="shared" si="23"/>
        <v>0</v>
      </c>
      <c r="F55" s="274">
        <f t="shared" si="24"/>
        <v>0</v>
      </c>
      <c r="G55" s="338">
        <f>IF($C55="",0,IF(ISNA(VLOOKUP($A55&amp;"_"&amp;G$4,'2. หน้างบรายจ่าย'!$C:$K,7,0)),0,VLOOKUP($A55&amp;"_"&amp;G$4,'2. หน้างบรายจ่าย'!$C:$K,7,0)))</f>
        <v>0</v>
      </c>
      <c r="H55" s="338">
        <f>IF($C55="",0,IF(ISNA(VLOOKUP($A55&amp;"_"&amp;H$4,'2. หน้างบรายจ่าย'!$C:$K,8,0)),0,VLOOKUP($A55&amp;"_"&amp;H$4,'2. หน้างบรายจ่าย'!$C:$K,8,0)))</f>
        <v>0</v>
      </c>
      <c r="I55" s="338">
        <f>IF($C55="",0,IF(ISNA(VLOOKUP($A55&amp;"_"&amp;I$4,'2. หน้างบรายจ่าย'!$C:$K,9,0)),0,VLOOKUP($A55&amp;"_"&amp;I$4,'2. หน้างบรายจ่าย'!$C:$K,9,0)))</f>
        <v>0</v>
      </c>
      <c r="J55" s="338">
        <f>IF($C55="",0,IF(ISNA(VLOOKUP($A55&amp;"_"&amp;J$4,'2. หน้างบรายจ่าย'!$C:$K,7,0)),0,VLOOKUP($A55&amp;"_"&amp;J$4,'2. หน้างบรายจ่าย'!$C:$K,7,0)))</f>
        <v>0</v>
      </c>
      <c r="K55" s="338">
        <f>IF($C55="",0,IF(ISNA(VLOOKUP($A55&amp;"_"&amp;K$4,'2. หน้างบรายจ่าย'!$C:$K,8,0)),0,VLOOKUP($A55&amp;"_"&amp;K$4,'2. หน้างบรายจ่าย'!$C:$K,8,0)))</f>
        <v>0</v>
      </c>
      <c r="L55" s="338">
        <f>IF($C55="",0,IF(ISNA(VLOOKUP($A55&amp;"_"&amp;L$4,'2. หน้างบรายจ่าย'!$C:$K,9,0)),0,VLOOKUP($A55&amp;"_"&amp;L$4,'2. หน้างบรายจ่าย'!$C:$K,9,0)))</f>
        <v>0</v>
      </c>
      <c r="M55" s="338">
        <f>IF($C55="",0,IF(ISNA(VLOOKUP($A55&amp;"_"&amp;M$4,'2. หน้างบรายจ่าย'!$C:$K,7,0)),0,VLOOKUP($A55&amp;"_"&amp;M$4,'2. หน้างบรายจ่าย'!$C:$K,7,0)))</f>
        <v>0</v>
      </c>
      <c r="N55" s="338">
        <f>IF($C55="",0,IF(ISNA(VLOOKUP($A55&amp;"_"&amp;N$4,'2. หน้างบรายจ่าย'!$C:$K,8,0)),0,VLOOKUP($A55&amp;"_"&amp;N$4,'2. หน้างบรายจ่าย'!$C:$K,8,0)))</f>
        <v>0</v>
      </c>
      <c r="O55" s="340">
        <f>IF($C55="",0,IF(ISNA(VLOOKUP($A55&amp;"_"&amp;O$4,'2. หน้างบรายจ่าย'!$C:$K,9,0)),0,VLOOKUP($A55&amp;"_"&amp;O$4,'2. หน้างบรายจ่าย'!$C:$K,9,0)))</f>
        <v>0</v>
      </c>
      <c r="P55" s="337">
        <f>IF($C55="",0,IF(ISNA(VLOOKUP($A55&amp;"_"&amp;P$4,'2. หน้างบรายจ่าย'!$C:$K,7,0)),0,VLOOKUP($A55&amp;"_"&amp;P$4,'2. หน้างบรายจ่าย'!$C:$K,7,0)))</f>
        <v>0</v>
      </c>
      <c r="Q55" s="341">
        <f>IF($C55="",0,IF(ISNA(VLOOKUP($A55&amp;"_"&amp;Q$4,'2. หน้างบรายจ่าย'!$C:$K,8,0)),0,VLOOKUP($A55&amp;"_"&amp;Q$4,'2. หน้างบรายจ่าย'!$C:$K,8,0)))</f>
        <v>0</v>
      </c>
      <c r="R55" s="338">
        <f>IF($C55="",0,IF(ISNA(VLOOKUP($A55&amp;"_"&amp;R$4,'2. หน้างบรายจ่าย'!$C:$K,9,0)),0,VLOOKUP($A55&amp;"_"&amp;R$4,'2. หน้างบรายจ่าย'!$C:$K,9,0)))</f>
        <v>0</v>
      </c>
      <c r="S55" s="338">
        <f>IF($C55="",0,IF(ISNA(VLOOKUP($A55&amp;"_"&amp;S$4,'2. หน้างบรายจ่าย'!$C:$K,7,0)),0,VLOOKUP($A55&amp;"_"&amp;S$4,'2. หน้างบรายจ่าย'!$C:$K,7,0)))</f>
        <v>0</v>
      </c>
      <c r="T55" s="338">
        <f>IF($C55="",0,IF(ISNA(VLOOKUP($A55&amp;"_"&amp;T$4,'2. หน้างบรายจ่าย'!$C:$K,8,0)),0,VLOOKUP($A55&amp;"_"&amp;T$4,'2. หน้างบรายจ่าย'!$C:$K,8,0)))</f>
        <v>0</v>
      </c>
      <c r="U55" s="338">
        <f>IF($C55="",0,IF(ISNA(VLOOKUP($A55&amp;"_"&amp;U$4,'2. หน้างบรายจ่าย'!$C:$K,9,0)),0,VLOOKUP($A55&amp;"_"&amp;U$4,'2. หน้างบรายจ่าย'!$C:$K,9,0)))</f>
        <v>0</v>
      </c>
      <c r="V55" s="338">
        <f>IF($C55="",0,IF(ISNA(VLOOKUP($A55&amp;"_"&amp;V$4,'2. หน้างบรายจ่าย'!$C:$K,7,0)),0,VLOOKUP($A55&amp;"_"&amp;V$4,'2. หน้างบรายจ่าย'!$C:$K,7,0)))</f>
        <v>0</v>
      </c>
      <c r="W55" s="338">
        <f>IF($C55="",0,IF(ISNA(VLOOKUP($A55&amp;"_"&amp;W$4,'2. หน้างบรายจ่าย'!$C:$K,8,0)),0,VLOOKUP($A55&amp;"_"&amp;W$4,'2. หน้างบรายจ่าย'!$C:$K,8,0)))</f>
        <v>0</v>
      </c>
      <c r="X55" s="338">
        <f>IF($C55="",0,IF(ISNA(VLOOKUP($A55&amp;"_"&amp;X$4,'2. หน้างบรายจ่าย'!$C:$K,9,0)),0,VLOOKUP($A55&amp;"_"&amp;X$4,'2. หน้างบรายจ่าย'!$C:$K,9,0)))</f>
        <v>0</v>
      </c>
      <c r="Y55" s="338">
        <f>IF($C55="",0,IF(ISNA(VLOOKUP($A55&amp;"_"&amp;Y$4,'2. หน้างบรายจ่าย'!$C:$K,7,0)),0,VLOOKUP($A55&amp;"_"&amp;Y$4,'2. หน้างบรายจ่าย'!$C:$K,7,0)))</f>
        <v>0</v>
      </c>
      <c r="Z55" s="338">
        <f>IF($C55="",0,IF(ISNA(VLOOKUP($A55&amp;"_"&amp;Z$4,'2. หน้างบรายจ่าย'!$C:$K,8,0)),0,VLOOKUP($A55&amp;"_"&amp;Z$4,'2. หน้างบรายจ่าย'!$C:$K,8,0)))</f>
        <v>0</v>
      </c>
      <c r="AA55" s="338">
        <f>IF($C55="",0,IF(ISNA(VLOOKUP($A55&amp;"_"&amp;AA$4,'2. หน้างบรายจ่าย'!$C:$K,9,0)),0,VLOOKUP($A55&amp;"_"&amp;AA$4,'2. หน้างบรายจ่าย'!$C:$K,9,0)))</f>
        <v>0</v>
      </c>
      <c r="AB55" s="338">
        <f>IF($C55="",0,IF(ISNA(VLOOKUP($A55&amp;"_"&amp;AB$4,'2. หน้างบรายจ่าย'!$C:$K,7,0)),0,VLOOKUP($A55&amp;"_"&amp;AB$4,'2. หน้างบรายจ่าย'!$C:$K,7,0)))</f>
        <v>0</v>
      </c>
      <c r="AC55" s="339">
        <f>IF($C55="",0,IF(ISNA(VLOOKUP($A55&amp;"_"&amp;AC$4,'2. หน้างบรายจ่าย'!$C:$K,8,0)),0,VLOOKUP($A55&amp;"_"&amp;AC$4,'2. หน้างบรายจ่าย'!$C:$K,8,0)))</f>
        <v>0</v>
      </c>
      <c r="AD55" s="340">
        <f>IF($C55="",0,IF(ISNA(VLOOKUP($A55&amp;"_"&amp;AD$4,'2. หน้างบรายจ่าย'!$C:$K,9,0)),0,VLOOKUP($A55&amp;"_"&amp;AD$4,'2. หน้างบรายจ่าย'!$C:$K,9,0)))</f>
        <v>0</v>
      </c>
      <c r="AE55" s="337">
        <f>IF($C55="",0,IF(ISNA(VLOOKUP($A55&amp;"_"&amp;AE$4,'2. หน้างบรายจ่าย'!$C:$K,7,0)),0,VLOOKUP($A55&amp;"_"&amp;AE$4,'2. หน้างบรายจ่าย'!$C:$K,7,0)))</f>
        <v>0</v>
      </c>
      <c r="AF55" s="342">
        <f>IF($C55="",0,IF(ISNA(VLOOKUP($A55&amp;"_"&amp;AF$4,'2. หน้างบรายจ่าย'!$C:$K,8,0)),0,VLOOKUP($A55&amp;"_"&amp;AF$4,'2. หน้างบรายจ่าย'!$C:$K,8,0)))</f>
        <v>0</v>
      </c>
      <c r="AG55" s="340">
        <f>IF($C55="",0,IF(ISNA(VLOOKUP($A55&amp;"_"&amp;AG$4,'2. หน้างบรายจ่าย'!$C:$K,9,0)),0,VLOOKUP($A55&amp;"_"&amp;AG$4,'2. หน้างบรายจ่าย'!$C:$K,9,0)))</f>
        <v>0</v>
      </c>
      <c r="AH55" s="341">
        <f>IF($C55="",0,IF(ISNA(VLOOKUP($A55&amp;"_"&amp;AH$4,'2. หน้างบรายจ่าย'!$C:$K,7,0)),0,VLOOKUP($A55&amp;"_"&amp;AH$4,'2. หน้างบรายจ่าย'!$C:$K,7,0)))</f>
        <v>0</v>
      </c>
      <c r="AI55" s="342">
        <f>IF($C55="",0,IF(ISNA(VLOOKUP($A55&amp;"_"&amp;AI$4,'2. หน้างบรายจ่าย'!$C:$K,8,0)),0,VLOOKUP($A55&amp;"_"&amp;AI$4,'2. หน้างบรายจ่าย'!$C:$K,8,0)))</f>
        <v>0</v>
      </c>
      <c r="AJ55" s="340">
        <f>IF($C55="",0,IF(ISNA(VLOOKUP($A55&amp;"_"&amp;AJ$4,'2. หน้างบรายจ่าย'!$C:$K,9,0)),0,VLOOKUP($A55&amp;"_"&amp;AJ$4,'2. หน้างบรายจ่าย'!$C:$K,9,0)))</f>
        <v>0</v>
      </c>
      <c r="AK55" s="341">
        <f>IF($C55="",0,IF(ISNA(VLOOKUP($A55&amp;"_"&amp;AK$4,'2. หน้างบรายจ่าย'!$C:$K,7,0)),0,VLOOKUP($A55&amp;"_"&amp;AK$4,'2. หน้างบรายจ่าย'!$C:$K,7,0)))</f>
        <v>0</v>
      </c>
      <c r="AL55" s="342">
        <f>IF($C55="",0,IF(ISNA(VLOOKUP($A55&amp;"_"&amp;AL$4,'2. หน้างบรายจ่าย'!$C:$K,8,0)),0,VLOOKUP($A55&amp;"_"&amp;AL$4,'2. หน้างบรายจ่าย'!$C:$K,8,0)))</f>
        <v>0</v>
      </c>
      <c r="AM55" s="340">
        <f>IF($C55="",0,IF(ISNA(VLOOKUP($A55&amp;"_"&amp;AM$4,'2. หน้างบรายจ่าย'!$C:$K,9,0)),0,VLOOKUP($A55&amp;"_"&amp;AM$4,'2. หน้างบรายจ่าย'!$C:$K,9,0)))</f>
        <v>0</v>
      </c>
      <c r="AP55" s="171" t="str">
        <f t="shared" si="25"/>
        <v>No</v>
      </c>
    </row>
    <row r="56" spans="1:42" ht="25.5" hidden="1" customHeight="1">
      <c r="A56" s="210">
        <v>27</v>
      </c>
      <c r="B56" s="244" t="str">
        <f>IF(ISNA(VLOOKUP(A56,'2. หน้างบรายจ่าย'!$A:$K,4,0)),"",TEXT(VLOOKUP(A56,'2. หน้างบรายจ่าย'!$A:$K,4,0),"dd ดดด yy"))</f>
        <v/>
      </c>
      <c r="C56" s="245" t="str">
        <f>IF(ISNA(VLOOKUP(A56,'2. หน้างบรายจ่าย'!$A:$K,8,0)),"",VLOOKUP(A56,'2. หน้างบรายจ่าย'!$A:$K,8,0))</f>
        <v/>
      </c>
      <c r="D56" s="231">
        <f t="shared" si="22"/>
        <v>0</v>
      </c>
      <c r="E56" s="232">
        <f t="shared" si="23"/>
        <v>0</v>
      </c>
      <c r="F56" s="231">
        <f t="shared" si="24"/>
        <v>0</v>
      </c>
      <c r="G56" s="247">
        <f>IF($C56="",0,IF(ISNA(VLOOKUP($A56&amp;"_"&amp;G$4,'2. หน้างบรายจ่าย'!$C:$K,7,0)),0,VLOOKUP($A56&amp;"_"&amp;G$4,'2. หน้างบรายจ่าย'!$C:$K,7,0)))</f>
        <v>0</v>
      </c>
      <c r="H56" s="247">
        <f>IF($C56="",0,IF(ISNA(VLOOKUP($A56&amp;"_"&amp;H$4,'2. หน้างบรายจ่าย'!$C:$K,8,0)),0,VLOOKUP($A56&amp;"_"&amp;H$4,'2. หน้างบรายจ่าย'!$C:$K,8,0)))</f>
        <v>0</v>
      </c>
      <c r="I56" s="247">
        <f>IF($C56="",0,IF(ISNA(VLOOKUP($A56&amp;"_"&amp;I$4,'2. หน้างบรายจ่าย'!$C:$K,9,0)),0,VLOOKUP($A56&amp;"_"&amp;I$4,'2. หน้างบรายจ่าย'!$C:$K,9,0)))</f>
        <v>0</v>
      </c>
      <c r="J56" s="247">
        <f>IF($C56="",0,IF(ISNA(VLOOKUP($A56&amp;"_"&amp;J$4,'2. หน้างบรายจ่าย'!$C:$K,7,0)),0,VLOOKUP($A56&amp;"_"&amp;J$4,'2. หน้างบรายจ่าย'!$C:$K,7,0)))</f>
        <v>0</v>
      </c>
      <c r="K56" s="247">
        <f>IF($C56="",0,IF(ISNA(VLOOKUP($A56&amp;"_"&amp;K$4,'2. หน้างบรายจ่าย'!$C:$K,8,0)),0,VLOOKUP($A56&amp;"_"&amp;K$4,'2. หน้างบรายจ่าย'!$C:$K,8,0)))</f>
        <v>0</v>
      </c>
      <c r="L56" s="247">
        <f>IF($C56="",0,IF(ISNA(VLOOKUP($A56&amp;"_"&amp;L$4,'2. หน้างบรายจ่าย'!$C:$K,9,0)),0,VLOOKUP($A56&amp;"_"&amp;L$4,'2. หน้างบรายจ่าย'!$C:$K,9,0)))</f>
        <v>0</v>
      </c>
      <c r="M56" s="247">
        <f>IF($C56="",0,IF(ISNA(VLOOKUP($A56&amp;"_"&amp;M$4,'2. หน้างบรายจ่าย'!$C:$K,7,0)),0,VLOOKUP($A56&amp;"_"&amp;M$4,'2. หน้างบรายจ่าย'!$C:$K,7,0)))</f>
        <v>0</v>
      </c>
      <c r="N56" s="247">
        <f>IF($C56="",0,IF(ISNA(VLOOKUP($A56&amp;"_"&amp;N$4,'2. หน้างบรายจ่าย'!$C:$K,8,0)),0,VLOOKUP($A56&amp;"_"&amp;N$4,'2. หน้างบรายจ่าย'!$C:$K,8,0)))</f>
        <v>0</v>
      </c>
      <c r="O56" s="248">
        <f>IF($C56="",0,IF(ISNA(VLOOKUP($A56&amp;"_"&amp;O$4,'2. หน้างบรายจ่าย'!$C:$K,9,0)),0,VLOOKUP($A56&amp;"_"&amp;O$4,'2. หน้างบรายจ่าย'!$C:$K,9,0)))</f>
        <v>0</v>
      </c>
      <c r="P56" s="246">
        <f>IF($C56="",0,IF(ISNA(VLOOKUP($A56&amp;"_"&amp;P$4,'2. หน้างบรายจ่าย'!$C:$K,7,0)),0,VLOOKUP($A56&amp;"_"&amp;P$4,'2. หน้างบรายจ่าย'!$C:$K,7,0)))</f>
        <v>0</v>
      </c>
      <c r="Q56" s="249">
        <f>IF($C56="",0,IF(ISNA(VLOOKUP($A56&amp;"_"&amp;Q$4,'2. หน้างบรายจ่าย'!$C:$K,8,0)),0,VLOOKUP($A56&amp;"_"&amp;Q$4,'2. หน้างบรายจ่าย'!$C:$K,8,0)))</f>
        <v>0</v>
      </c>
      <c r="R56" s="247">
        <f>IF($C56="",0,IF(ISNA(VLOOKUP($A56&amp;"_"&amp;R$4,'2. หน้างบรายจ่าย'!$C:$K,9,0)),0,VLOOKUP($A56&amp;"_"&amp;R$4,'2. หน้างบรายจ่าย'!$C:$K,9,0)))</f>
        <v>0</v>
      </c>
      <c r="S56" s="247">
        <f>IF($C56="",0,IF(ISNA(VLOOKUP($A56&amp;"_"&amp;S$4,'2. หน้างบรายจ่าย'!$C:$K,7,0)),0,VLOOKUP($A56&amp;"_"&amp;S$4,'2. หน้างบรายจ่าย'!$C:$K,7,0)))</f>
        <v>0</v>
      </c>
      <c r="T56" s="247">
        <f>IF($C56="",0,IF(ISNA(VLOOKUP($A56&amp;"_"&amp;T$4,'2. หน้างบรายจ่าย'!$C:$K,8,0)),0,VLOOKUP($A56&amp;"_"&amp;T$4,'2. หน้างบรายจ่าย'!$C:$K,8,0)))</f>
        <v>0</v>
      </c>
      <c r="U56" s="247">
        <f>IF($C56="",0,IF(ISNA(VLOOKUP($A56&amp;"_"&amp;U$4,'2. หน้างบรายจ่าย'!$C:$K,9,0)),0,VLOOKUP($A56&amp;"_"&amp;U$4,'2. หน้างบรายจ่าย'!$C:$K,9,0)))</f>
        <v>0</v>
      </c>
      <c r="V56" s="247">
        <f>IF($C56="",0,IF(ISNA(VLOOKUP($A56&amp;"_"&amp;V$4,'2. หน้างบรายจ่าย'!$C:$K,7,0)),0,VLOOKUP($A56&amp;"_"&amp;V$4,'2. หน้างบรายจ่าย'!$C:$K,7,0)))</f>
        <v>0</v>
      </c>
      <c r="W56" s="247">
        <f>IF($C56="",0,IF(ISNA(VLOOKUP($A56&amp;"_"&amp;W$4,'2. หน้างบรายจ่าย'!$C:$K,8,0)),0,VLOOKUP($A56&amp;"_"&amp;W$4,'2. หน้างบรายจ่าย'!$C:$K,8,0)))</f>
        <v>0</v>
      </c>
      <c r="X56" s="247">
        <f>IF($C56="",0,IF(ISNA(VLOOKUP($A56&amp;"_"&amp;X$4,'2. หน้างบรายจ่าย'!$C:$K,9,0)),0,VLOOKUP($A56&amp;"_"&amp;X$4,'2. หน้างบรายจ่าย'!$C:$K,9,0)))</f>
        <v>0</v>
      </c>
      <c r="Y56" s="247">
        <f>IF($C56="",0,IF(ISNA(VLOOKUP($A56&amp;"_"&amp;Y$4,'2. หน้างบรายจ่าย'!$C:$K,7,0)),0,VLOOKUP($A56&amp;"_"&amp;Y$4,'2. หน้างบรายจ่าย'!$C:$K,7,0)))</f>
        <v>0</v>
      </c>
      <c r="Z56" s="247">
        <f>IF($C56="",0,IF(ISNA(VLOOKUP($A56&amp;"_"&amp;Z$4,'2. หน้างบรายจ่าย'!$C:$K,8,0)),0,VLOOKUP($A56&amp;"_"&amp;Z$4,'2. หน้างบรายจ่าย'!$C:$K,8,0)))</f>
        <v>0</v>
      </c>
      <c r="AA56" s="247">
        <f>IF($C56="",0,IF(ISNA(VLOOKUP($A56&amp;"_"&amp;AA$4,'2. หน้างบรายจ่าย'!$C:$K,9,0)),0,VLOOKUP($A56&amp;"_"&amp;AA$4,'2. หน้างบรายจ่าย'!$C:$K,9,0)))</f>
        <v>0</v>
      </c>
      <c r="AB56" s="247">
        <f>IF($C56="",0,IF(ISNA(VLOOKUP($A56&amp;"_"&amp;AB$4,'2. หน้างบรายจ่าย'!$C:$K,7,0)),0,VLOOKUP($A56&amp;"_"&amp;AB$4,'2. หน้างบรายจ่าย'!$C:$K,7,0)))</f>
        <v>0</v>
      </c>
      <c r="AC56" s="251">
        <f>IF($C56="",0,IF(ISNA(VLOOKUP($A56&amp;"_"&amp;AC$4,'2. หน้างบรายจ่าย'!$C:$K,8,0)),0,VLOOKUP($A56&amp;"_"&amp;AC$4,'2. หน้างบรายจ่าย'!$C:$K,8,0)))</f>
        <v>0</v>
      </c>
      <c r="AD56" s="248">
        <f>IF($C56="",0,IF(ISNA(VLOOKUP($A56&amp;"_"&amp;AD$4,'2. หน้างบรายจ่าย'!$C:$K,9,0)),0,VLOOKUP($A56&amp;"_"&amp;AD$4,'2. หน้างบรายจ่าย'!$C:$K,9,0)))</f>
        <v>0</v>
      </c>
      <c r="AE56" s="246">
        <f>IF($C56="",0,IF(ISNA(VLOOKUP($A56&amp;"_"&amp;AE$4,'2. หน้างบรายจ่าย'!$C:$K,7,0)),0,VLOOKUP($A56&amp;"_"&amp;AE$4,'2. หน้างบรายจ่าย'!$C:$K,7,0)))</f>
        <v>0</v>
      </c>
      <c r="AF56" s="250">
        <f>IF($C56="",0,IF(ISNA(VLOOKUP($A56&amp;"_"&amp;AF$4,'2. หน้างบรายจ่าย'!$C:$K,8,0)),0,VLOOKUP($A56&amp;"_"&amp;AF$4,'2. หน้างบรายจ่าย'!$C:$K,8,0)))</f>
        <v>0</v>
      </c>
      <c r="AG56" s="248">
        <f>IF($C56="",0,IF(ISNA(VLOOKUP($A56&amp;"_"&amp;AG$4,'2. หน้างบรายจ่าย'!$C:$K,9,0)),0,VLOOKUP($A56&amp;"_"&amp;AG$4,'2. หน้างบรายจ่าย'!$C:$K,9,0)))</f>
        <v>0</v>
      </c>
      <c r="AH56" s="249">
        <f>IF($C56="",0,IF(ISNA(VLOOKUP($A56&amp;"_"&amp;AH$4,'2. หน้างบรายจ่าย'!$C:$K,7,0)),0,VLOOKUP($A56&amp;"_"&amp;AH$4,'2. หน้างบรายจ่าย'!$C:$K,7,0)))</f>
        <v>0</v>
      </c>
      <c r="AI56" s="250">
        <f>IF($C56="",0,IF(ISNA(VLOOKUP($A56&amp;"_"&amp;AI$4,'2. หน้างบรายจ่าย'!$C:$K,8,0)),0,VLOOKUP($A56&amp;"_"&amp;AI$4,'2. หน้างบรายจ่าย'!$C:$K,8,0)))</f>
        <v>0</v>
      </c>
      <c r="AJ56" s="248">
        <f>IF($C56="",0,IF(ISNA(VLOOKUP($A56&amp;"_"&amp;AJ$4,'2. หน้างบรายจ่าย'!$C:$K,9,0)),0,VLOOKUP($A56&amp;"_"&amp;AJ$4,'2. หน้างบรายจ่าย'!$C:$K,9,0)))</f>
        <v>0</v>
      </c>
      <c r="AK56" s="249">
        <f>IF($C56="",0,IF(ISNA(VLOOKUP($A56&amp;"_"&amp;AK$4,'2. หน้างบรายจ่าย'!$C:$K,7,0)),0,VLOOKUP($A56&amp;"_"&amp;AK$4,'2. หน้างบรายจ่าย'!$C:$K,7,0)))</f>
        <v>0</v>
      </c>
      <c r="AL56" s="250">
        <f>IF($C56="",0,IF(ISNA(VLOOKUP($A56&amp;"_"&amp;AL$4,'2. หน้างบรายจ่าย'!$C:$K,8,0)),0,VLOOKUP($A56&amp;"_"&amp;AL$4,'2. หน้างบรายจ่าย'!$C:$K,8,0)))</f>
        <v>0</v>
      </c>
      <c r="AM56" s="248">
        <f>IF($C56="",0,IF(ISNA(VLOOKUP($A56&amp;"_"&amp;AM$4,'2. หน้างบรายจ่าย'!$C:$K,9,0)),0,VLOOKUP($A56&amp;"_"&amp;AM$4,'2. หน้างบรายจ่าย'!$C:$K,9,0)))</f>
        <v>0</v>
      </c>
      <c r="AP56" s="171" t="str">
        <f t="shared" si="25"/>
        <v>No</v>
      </c>
    </row>
    <row r="57" spans="1:42" ht="25.5" hidden="1" customHeight="1">
      <c r="A57" s="210">
        <v>28</v>
      </c>
      <c r="B57" s="244" t="str">
        <f>IF(ISNA(VLOOKUP(A57,'2. หน้างบรายจ่าย'!$A:$K,4,0)),"",TEXT(VLOOKUP(A57,'2. หน้างบรายจ่าย'!$A:$K,4,0),"dd ดดด yy"))</f>
        <v/>
      </c>
      <c r="C57" s="245" t="str">
        <f>IF(ISNA(VLOOKUP(A57,'2. หน้างบรายจ่าย'!$A:$K,8,0)),"",VLOOKUP(A57,'2. หน้างบรายจ่าย'!$A:$K,8,0))</f>
        <v/>
      </c>
      <c r="D57" s="231">
        <f t="shared" si="22"/>
        <v>0</v>
      </c>
      <c r="E57" s="232">
        <f t="shared" si="23"/>
        <v>0</v>
      </c>
      <c r="F57" s="231">
        <f t="shared" si="24"/>
        <v>0</v>
      </c>
      <c r="G57" s="247">
        <f>IF($C57="",0,IF(ISNA(VLOOKUP($A57&amp;"_"&amp;G$4,'2. หน้างบรายจ่าย'!$C:$K,7,0)),0,VLOOKUP($A57&amp;"_"&amp;G$4,'2. หน้างบรายจ่าย'!$C:$K,7,0)))</f>
        <v>0</v>
      </c>
      <c r="H57" s="247">
        <f>IF($C57="",0,IF(ISNA(VLOOKUP($A57&amp;"_"&amp;H$4,'2. หน้างบรายจ่าย'!$C:$K,8,0)),0,VLOOKUP($A57&amp;"_"&amp;H$4,'2. หน้างบรายจ่าย'!$C:$K,8,0)))</f>
        <v>0</v>
      </c>
      <c r="I57" s="247">
        <f>IF($C57="",0,IF(ISNA(VLOOKUP($A57&amp;"_"&amp;I$4,'2. หน้างบรายจ่าย'!$C:$K,9,0)),0,VLOOKUP($A57&amp;"_"&amp;I$4,'2. หน้างบรายจ่าย'!$C:$K,9,0)))</f>
        <v>0</v>
      </c>
      <c r="J57" s="247">
        <f>IF($C57="",0,IF(ISNA(VLOOKUP($A57&amp;"_"&amp;J$4,'2. หน้างบรายจ่าย'!$C:$K,7,0)),0,VLOOKUP($A57&amp;"_"&amp;J$4,'2. หน้างบรายจ่าย'!$C:$K,7,0)))</f>
        <v>0</v>
      </c>
      <c r="K57" s="247">
        <f>IF($C57="",0,IF(ISNA(VLOOKUP($A57&amp;"_"&amp;K$4,'2. หน้างบรายจ่าย'!$C:$K,8,0)),0,VLOOKUP($A57&amp;"_"&amp;K$4,'2. หน้างบรายจ่าย'!$C:$K,8,0)))</f>
        <v>0</v>
      </c>
      <c r="L57" s="247">
        <f>IF($C57="",0,IF(ISNA(VLOOKUP($A57&amp;"_"&amp;L$4,'2. หน้างบรายจ่าย'!$C:$K,9,0)),0,VLOOKUP($A57&amp;"_"&amp;L$4,'2. หน้างบรายจ่าย'!$C:$K,9,0)))</f>
        <v>0</v>
      </c>
      <c r="M57" s="247">
        <f>IF($C57="",0,IF(ISNA(VLOOKUP($A57&amp;"_"&amp;M$4,'2. หน้างบรายจ่าย'!$C:$K,7,0)),0,VLOOKUP($A57&amp;"_"&amp;M$4,'2. หน้างบรายจ่าย'!$C:$K,7,0)))</f>
        <v>0</v>
      </c>
      <c r="N57" s="247">
        <f>IF($C57="",0,IF(ISNA(VLOOKUP($A57&amp;"_"&amp;N$4,'2. หน้างบรายจ่าย'!$C:$K,8,0)),0,VLOOKUP($A57&amp;"_"&amp;N$4,'2. หน้างบรายจ่าย'!$C:$K,8,0)))</f>
        <v>0</v>
      </c>
      <c r="O57" s="248">
        <f>IF($C57="",0,IF(ISNA(VLOOKUP($A57&amp;"_"&amp;O$4,'2. หน้างบรายจ่าย'!$C:$K,9,0)),0,VLOOKUP($A57&amp;"_"&amp;O$4,'2. หน้างบรายจ่าย'!$C:$K,9,0)))</f>
        <v>0</v>
      </c>
      <c r="P57" s="246">
        <f>IF($C57="",0,IF(ISNA(VLOOKUP($A57&amp;"_"&amp;P$4,'2. หน้างบรายจ่าย'!$C:$K,7,0)),0,VLOOKUP($A57&amp;"_"&amp;P$4,'2. หน้างบรายจ่าย'!$C:$K,7,0)))</f>
        <v>0</v>
      </c>
      <c r="Q57" s="249">
        <f>IF($C57="",0,IF(ISNA(VLOOKUP($A57&amp;"_"&amp;Q$4,'2. หน้างบรายจ่าย'!$C:$K,8,0)),0,VLOOKUP($A57&amp;"_"&amp;Q$4,'2. หน้างบรายจ่าย'!$C:$K,8,0)))</f>
        <v>0</v>
      </c>
      <c r="R57" s="247">
        <f>IF($C57="",0,IF(ISNA(VLOOKUP($A57&amp;"_"&amp;R$4,'2. หน้างบรายจ่าย'!$C:$K,9,0)),0,VLOOKUP($A57&amp;"_"&amp;R$4,'2. หน้างบรายจ่าย'!$C:$K,9,0)))</f>
        <v>0</v>
      </c>
      <c r="S57" s="247">
        <f>IF($C57="",0,IF(ISNA(VLOOKUP($A57&amp;"_"&amp;S$4,'2. หน้างบรายจ่าย'!$C:$K,7,0)),0,VLOOKUP($A57&amp;"_"&amp;S$4,'2. หน้างบรายจ่าย'!$C:$K,7,0)))</f>
        <v>0</v>
      </c>
      <c r="T57" s="247">
        <f>IF($C57="",0,IF(ISNA(VLOOKUP($A57&amp;"_"&amp;T$4,'2. หน้างบรายจ่าย'!$C:$K,8,0)),0,VLOOKUP($A57&amp;"_"&amp;T$4,'2. หน้างบรายจ่าย'!$C:$K,8,0)))</f>
        <v>0</v>
      </c>
      <c r="U57" s="247">
        <f>IF($C57="",0,IF(ISNA(VLOOKUP($A57&amp;"_"&amp;U$4,'2. หน้างบรายจ่าย'!$C:$K,9,0)),0,VLOOKUP($A57&amp;"_"&amp;U$4,'2. หน้างบรายจ่าย'!$C:$K,9,0)))</f>
        <v>0</v>
      </c>
      <c r="V57" s="247">
        <f>IF($C57="",0,IF(ISNA(VLOOKUP($A57&amp;"_"&amp;V$4,'2. หน้างบรายจ่าย'!$C:$K,7,0)),0,VLOOKUP($A57&amp;"_"&amp;V$4,'2. หน้างบรายจ่าย'!$C:$K,7,0)))</f>
        <v>0</v>
      </c>
      <c r="W57" s="247">
        <f>IF($C57="",0,IF(ISNA(VLOOKUP($A57&amp;"_"&amp;W$4,'2. หน้างบรายจ่าย'!$C:$K,8,0)),0,VLOOKUP($A57&amp;"_"&amp;W$4,'2. หน้างบรายจ่าย'!$C:$K,8,0)))</f>
        <v>0</v>
      </c>
      <c r="X57" s="247">
        <f>IF($C57="",0,IF(ISNA(VLOOKUP($A57&amp;"_"&amp;X$4,'2. หน้างบรายจ่าย'!$C:$K,9,0)),0,VLOOKUP($A57&amp;"_"&amp;X$4,'2. หน้างบรายจ่าย'!$C:$K,9,0)))</f>
        <v>0</v>
      </c>
      <c r="Y57" s="247">
        <f>IF($C57="",0,IF(ISNA(VLOOKUP($A57&amp;"_"&amp;Y$4,'2. หน้างบรายจ่าย'!$C:$K,7,0)),0,VLOOKUP($A57&amp;"_"&amp;Y$4,'2. หน้างบรายจ่าย'!$C:$K,7,0)))</f>
        <v>0</v>
      </c>
      <c r="Z57" s="247">
        <f>IF($C57="",0,IF(ISNA(VLOOKUP($A57&amp;"_"&amp;Z$4,'2. หน้างบรายจ่าย'!$C:$K,8,0)),0,VLOOKUP($A57&amp;"_"&amp;Z$4,'2. หน้างบรายจ่าย'!$C:$K,8,0)))</f>
        <v>0</v>
      </c>
      <c r="AA57" s="247">
        <f>IF($C57="",0,IF(ISNA(VLOOKUP($A57&amp;"_"&amp;AA$4,'2. หน้างบรายจ่าย'!$C:$K,9,0)),0,VLOOKUP($A57&amp;"_"&amp;AA$4,'2. หน้างบรายจ่าย'!$C:$K,9,0)))</f>
        <v>0</v>
      </c>
      <c r="AB57" s="247">
        <f>IF($C57="",0,IF(ISNA(VLOOKUP($A57&amp;"_"&amp;AB$4,'2. หน้างบรายจ่าย'!$C:$K,7,0)),0,VLOOKUP($A57&amp;"_"&amp;AB$4,'2. หน้างบรายจ่าย'!$C:$K,7,0)))</f>
        <v>0</v>
      </c>
      <c r="AC57" s="251">
        <f>IF($C57="",0,IF(ISNA(VLOOKUP($A57&amp;"_"&amp;AC$4,'2. หน้างบรายจ่าย'!$C:$K,8,0)),0,VLOOKUP($A57&amp;"_"&amp;AC$4,'2. หน้างบรายจ่าย'!$C:$K,8,0)))</f>
        <v>0</v>
      </c>
      <c r="AD57" s="248">
        <f>IF($C57="",0,IF(ISNA(VLOOKUP($A57&amp;"_"&amp;AD$4,'2. หน้างบรายจ่าย'!$C:$K,9,0)),0,VLOOKUP($A57&amp;"_"&amp;AD$4,'2. หน้างบรายจ่าย'!$C:$K,9,0)))</f>
        <v>0</v>
      </c>
      <c r="AE57" s="246">
        <f>IF($C57="",0,IF(ISNA(VLOOKUP($A57&amp;"_"&amp;AE$4,'2. หน้างบรายจ่าย'!$C:$K,7,0)),0,VLOOKUP($A57&amp;"_"&amp;AE$4,'2. หน้างบรายจ่าย'!$C:$K,7,0)))</f>
        <v>0</v>
      </c>
      <c r="AF57" s="250">
        <f>IF($C57="",0,IF(ISNA(VLOOKUP($A57&amp;"_"&amp;AF$4,'2. หน้างบรายจ่าย'!$C:$K,8,0)),0,VLOOKUP($A57&amp;"_"&amp;AF$4,'2. หน้างบรายจ่าย'!$C:$K,8,0)))</f>
        <v>0</v>
      </c>
      <c r="AG57" s="248">
        <f>IF($C57="",0,IF(ISNA(VLOOKUP($A57&amp;"_"&amp;AG$4,'2. หน้างบรายจ่าย'!$C:$K,9,0)),0,VLOOKUP($A57&amp;"_"&amp;AG$4,'2. หน้างบรายจ่าย'!$C:$K,9,0)))</f>
        <v>0</v>
      </c>
      <c r="AH57" s="249">
        <f>IF($C57="",0,IF(ISNA(VLOOKUP($A57&amp;"_"&amp;AH$4,'2. หน้างบรายจ่าย'!$C:$K,7,0)),0,VLOOKUP($A57&amp;"_"&amp;AH$4,'2. หน้างบรายจ่าย'!$C:$K,7,0)))</f>
        <v>0</v>
      </c>
      <c r="AI57" s="250">
        <f>IF($C57="",0,IF(ISNA(VLOOKUP($A57&amp;"_"&amp;AI$4,'2. หน้างบรายจ่าย'!$C:$K,8,0)),0,VLOOKUP($A57&amp;"_"&amp;AI$4,'2. หน้างบรายจ่าย'!$C:$K,8,0)))</f>
        <v>0</v>
      </c>
      <c r="AJ57" s="248">
        <f>IF($C57="",0,IF(ISNA(VLOOKUP($A57&amp;"_"&amp;AJ$4,'2. หน้างบรายจ่าย'!$C:$K,9,0)),0,VLOOKUP($A57&amp;"_"&amp;AJ$4,'2. หน้างบรายจ่าย'!$C:$K,9,0)))</f>
        <v>0</v>
      </c>
      <c r="AK57" s="249">
        <f>IF($C57="",0,IF(ISNA(VLOOKUP($A57&amp;"_"&amp;AK$4,'2. หน้างบรายจ่าย'!$C:$K,7,0)),0,VLOOKUP($A57&amp;"_"&amp;AK$4,'2. หน้างบรายจ่าย'!$C:$K,7,0)))</f>
        <v>0</v>
      </c>
      <c r="AL57" s="250">
        <f>IF($C57="",0,IF(ISNA(VLOOKUP($A57&amp;"_"&amp;AL$4,'2. หน้างบรายจ่าย'!$C:$K,8,0)),0,VLOOKUP($A57&amp;"_"&amp;AL$4,'2. หน้างบรายจ่าย'!$C:$K,8,0)))</f>
        <v>0</v>
      </c>
      <c r="AM57" s="248">
        <f>IF($C57="",0,IF(ISNA(VLOOKUP($A57&amp;"_"&amp;AM$4,'2. หน้างบรายจ่าย'!$C:$K,9,0)),0,VLOOKUP($A57&amp;"_"&amp;AM$4,'2. หน้างบรายจ่าย'!$C:$K,9,0)))</f>
        <v>0</v>
      </c>
      <c r="AP57" s="171" t="str">
        <f t="shared" si="25"/>
        <v>No</v>
      </c>
    </row>
    <row r="58" spans="1:42" ht="27" hidden="1">
      <c r="A58" s="210">
        <v>29</v>
      </c>
      <c r="B58" s="385" t="str">
        <f>IF(ISNA(VLOOKUP(A58,'2. หน้างบรายจ่าย'!$A:$K,4,0)),"",TEXT(VLOOKUP(A58,'2. หน้างบรายจ่าย'!$A:$K,4,0),"dd ดดด yy"))</f>
        <v/>
      </c>
      <c r="C58" s="335" t="str">
        <f>IF(ISNA(VLOOKUP(A58,'2. หน้างบรายจ่าย'!$A:$K,8,0)),"",VLOOKUP(A58,'2. หน้างบรายจ่าย'!$A:$K,8,0))</f>
        <v/>
      </c>
      <c r="D58" s="274">
        <f t="shared" si="22"/>
        <v>0</v>
      </c>
      <c r="E58" s="275">
        <f t="shared" si="23"/>
        <v>0</v>
      </c>
      <c r="F58" s="274">
        <f t="shared" si="24"/>
        <v>0</v>
      </c>
      <c r="G58" s="338">
        <f>IF($C58="",0,IF(ISNA(VLOOKUP($A58&amp;"_"&amp;G$4,'2. หน้างบรายจ่าย'!$C:$K,7,0)),0,VLOOKUP($A58&amp;"_"&amp;G$4,'2. หน้างบรายจ่าย'!$C:$K,7,0)))</f>
        <v>0</v>
      </c>
      <c r="H58" s="338">
        <f>IF($C58="",0,IF(ISNA(VLOOKUP($A58&amp;"_"&amp;H$4,'2. หน้างบรายจ่าย'!$C:$K,8,0)),0,VLOOKUP($A58&amp;"_"&amp;H$4,'2. หน้างบรายจ่าย'!$C:$K,8,0)))</f>
        <v>0</v>
      </c>
      <c r="I58" s="338">
        <f>IF($C58="",0,IF(ISNA(VLOOKUP($A58&amp;"_"&amp;I$4,'2. หน้างบรายจ่าย'!$C:$K,9,0)),0,VLOOKUP($A58&amp;"_"&amp;I$4,'2. หน้างบรายจ่าย'!$C:$K,9,0)))</f>
        <v>0</v>
      </c>
      <c r="J58" s="338">
        <f>IF($C58="",0,IF(ISNA(VLOOKUP($A58&amp;"_"&amp;J$4,'2. หน้างบรายจ่าย'!$C:$K,7,0)),0,VLOOKUP($A58&amp;"_"&amp;J$4,'2. หน้างบรายจ่าย'!$C:$K,7,0)))</f>
        <v>0</v>
      </c>
      <c r="K58" s="338">
        <f>IF($C58="",0,IF(ISNA(VLOOKUP($A58&amp;"_"&amp;K$4,'2. หน้างบรายจ่าย'!$C:$K,8,0)),0,VLOOKUP($A58&amp;"_"&amp;K$4,'2. หน้างบรายจ่าย'!$C:$K,8,0)))</f>
        <v>0</v>
      </c>
      <c r="L58" s="338">
        <f>IF($C58="",0,IF(ISNA(VLOOKUP($A58&amp;"_"&amp;L$4,'2. หน้างบรายจ่าย'!$C:$K,9,0)),0,VLOOKUP($A58&amp;"_"&amp;L$4,'2. หน้างบรายจ่าย'!$C:$K,9,0)))</f>
        <v>0</v>
      </c>
      <c r="M58" s="338">
        <f>IF($C58="",0,IF(ISNA(VLOOKUP($A58&amp;"_"&amp;M$4,'2. หน้างบรายจ่าย'!$C:$K,7,0)),0,VLOOKUP($A58&amp;"_"&amp;M$4,'2. หน้างบรายจ่าย'!$C:$K,7,0)))</f>
        <v>0</v>
      </c>
      <c r="N58" s="338">
        <f>IF($C58="",0,IF(ISNA(VLOOKUP($A58&amp;"_"&amp;N$4,'2. หน้างบรายจ่าย'!$C:$K,8,0)),0,VLOOKUP($A58&amp;"_"&amp;N$4,'2. หน้างบรายจ่าย'!$C:$K,8,0)))</f>
        <v>0</v>
      </c>
      <c r="O58" s="340">
        <f>IF($C58="",0,IF(ISNA(VLOOKUP($A58&amp;"_"&amp;O$4,'2. หน้างบรายจ่าย'!$C:$K,9,0)),0,VLOOKUP($A58&amp;"_"&amp;O$4,'2. หน้างบรายจ่าย'!$C:$K,9,0)))</f>
        <v>0</v>
      </c>
      <c r="P58" s="337">
        <f>IF($C58="",0,IF(ISNA(VLOOKUP($A58&amp;"_"&amp;P$4,'2. หน้างบรายจ่าย'!$C:$K,7,0)),0,VLOOKUP($A58&amp;"_"&amp;P$4,'2. หน้างบรายจ่าย'!$C:$K,7,0)))</f>
        <v>0</v>
      </c>
      <c r="Q58" s="341">
        <f>IF($C58="",0,IF(ISNA(VLOOKUP($A58&amp;"_"&amp;Q$4,'2. หน้างบรายจ่าย'!$C:$K,8,0)),0,VLOOKUP($A58&amp;"_"&amp;Q$4,'2. หน้างบรายจ่าย'!$C:$K,8,0)))</f>
        <v>0</v>
      </c>
      <c r="R58" s="338">
        <f>IF($C58="",0,IF(ISNA(VLOOKUP($A58&amp;"_"&amp;R$4,'2. หน้างบรายจ่าย'!$C:$K,9,0)),0,VLOOKUP($A58&amp;"_"&amp;R$4,'2. หน้างบรายจ่าย'!$C:$K,9,0)))</f>
        <v>0</v>
      </c>
      <c r="S58" s="338">
        <f>IF($C58="",0,IF(ISNA(VLOOKUP($A58&amp;"_"&amp;S$4,'2. หน้างบรายจ่าย'!$C:$K,7,0)),0,VLOOKUP($A58&amp;"_"&amp;S$4,'2. หน้างบรายจ่าย'!$C:$K,7,0)))</f>
        <v>0</v>
      </c>
      <c r="T58" s="338">
        <f>IF($C58="",0,IF(ISNA(VLOOKUP($A58&amp;"_"&amp;T$4,'2. หน้างบรายจ่าย'!$C:$K,8,0)),0,VLOOKUP($A58&amp;"_"&amp;T$4,'2. หน้างบรายจ่าย'!$C:$K,8,0)))</f>
        <v>0</v>
      </c>
      <c r="U58" s="338">
        <f>IF($C58="",0,IF(ISNA(VLOOKUP($A58&amp;"_"&amp;U$4,'2. หน้างบรายจ่าย'!$C:$K,9,0)),0,VLOOKUP($A58&amp;"_"&amp;U$4,'2. หน้างบรายจ่าย'!$C:$K,9,0)))</f>
        <v>0</v>
      </c>
      <c r="V58" s="338">
        <f>IF($C58="",0,IF(ISNA(VLOOKUP($A58&amp;"_"&amp;V$4,'2. หน้างบรายจ่าย'!$C:$K,7,0)),0,VLOOKUP($A58&amp;"_"&amp;V$4,'2. หน้างบรายจ่าย'!$C:$K,7,0)))</f>
        <v>0</v>
      </c>
      <c r="W58" s="338">
        <f>IF($C58="",0,IF(ISNA(VLOOKUP($A58&amp;"_"&amp;W$4,'2. หน้างบรายจ่าย'!$C:$K,8,0)),0,VLOOKUP($A58&amp;"_"&amp;W$4,'2. หน้างบรายจ่าย'!$C:$K,8,0)))</f>
        <v>0</v>
      </c>
      <c r="X58" s="338">
        <f>IF($C58="",0,IF(ISNA(VLOOKUP($A58&amp;"_"&amp;X$4,'2. หน้างบรายจ่าย'!$C:$K,9,0)),0,VLOOKUP($A58&amp;"_"&amp;X$4,'2. หน้างบรายจ่าย'!$C:$K,9,0)))</f>
        <v>0</v>
      </c>
      <c r="Y58" s="338">
        <f>IF($C58="",0,IF(ISNA(VLOOKUP($A58&amp;"_"&amp;Y$4,'2. หน้างบรายจ่าย'!$C:$K,7,0)),0,VLOOKUP($A58&amp;"_"&amp;Y$4,'2. หน้างบรายจ่าย'!$C:$K,7,0)))</f>
        <v>0</v>
      </c>
      <c r="Z58" s="338">
        <f>IF($C58="",0,IF(ISNA(VLOOKUP($A58&amp;"_"&amp;Z$4,'2. หน้างบรายจ่าย'!$C:$K,8,0)),0,VLOOKUP($A58&amp;"_"&amp;Z$4,'2. หน้างบรายจ่าย'!$C:$K,8,0)))</f>
        <v>0</v>
      </c>
      <c r="AA58" s="338">
        <f>IF($C58="",0,IF(ISNA(VLOOKUP($A58&amp;"_"&amp;AA$4,'2. หน้างบรายจ่าย'!$C:$K,9,0)),0,VLOOKUP($A58&amp;"_"&amp;AA$4,'2. หน้างบรายจ่าย'!$C:$K,9,0)))</f>
        <v>0</v>
      </c>
      <c r="AB58" s="338">
        <f>IF($C58="",0,IF(ISNA(VLOOKUP($A58&amp;"_"&amp;AB$4,'2. หน้างบรายจ่าย'!$C:$K,7,0)),0,VLOOKUP($A58&amp;"_"&amp;AB$4,'2. หน้างบรายจ่าย'!$C:$K,7,0)))</f>
        <v>0</v>
      </c>
      <c r="AC58" s="339">
        <f>IF($C58="",0,IF(ISNA(VLOOKUP($A58&amp;"_"&amp;AC$4,'2. หน้างบรายจ่าย'!$C:$K,8,0)),0,VLOOKUP($A58&amp;"_"&amp;AC$4,'2. หน้างบรายจ่าย'!$C:$K,8,0)))</f>
        <v>0</v>
      </c>
      <c r="AD58" s="340">
        <f>IF($C58="",0,IF(ISNA(VLOOKUP($A58&amp;"_"&amp;AD$4,'2. หน้างบรายจ่าย'!$C:$K,9,0)),0,VLOOKUP($A58&amp;"_"&amp;AD$4,'2. หน้างบรายจ่าย'!$C:$K,9,0)))</f>
        <v>0</v>
      </c>
      <c r="AE58" s="337">
        <f>IF($C58="",0,IF(ISNA(VLOOKUP($A58&amp;"_"&amp;AE$4,'2. หน้างบรายจ่าย'!$C:$K,7,0)),0,VLOOKUP($A58&amp;"_"&amp;AE$4,'2. หน้างบรายจ่าย'!$C:$K,7,0)))</f>
        <v>0</v>
      </c>
      <c r="AF58" s="342">
        <f>IF($C58="",0,IF(ISNA(VLOOKUP($A58&amp;"_"&amp;AF$4,'2. หน้างบรายจ่าย'!$C:$K,8,0)),0,VLOOKUP($A58&amp;"_"&amp;AF$4,'2. หน้างบรายจ่าย'!$C:$K,8,0)))</f>
        <v>0</v>
      </c>
      <c r="AG58" s="340">
        <f>IF($C58="",0,IF(ISNA(VLOOKUP($A58&amp;"_"&amp;AG$4,'2. หน้างบรายจ่าย'!$C:$K,9,0)),0,VLOOKUP($A58&amp;"_"&amp;AG$4,'2. หน้างบรายจ่าย'!$C:$K,9,0)))</f>
        <v>0</v>
      </c>
      <c r="AH58" s="341">
        <f>IF($C58="",0,IF(ISNA(VLOOKUP($A58&amp;"_"&amp;AH$4,'2. หน้างบรายจ่าย'!$C:$K,7,0)),0,VLOOKUP($A58&amp;"_"&amp;AH$4,'2. หน้างบรายจ่าย'!$C:$K,7,0)))</f>
        <v>0</v>
      </c>
      <c r="AI58" s="342">
        <f>IF($C58="",0,IF(ISNA(VLOOKUP($A58&amp;"_"&amp;AI$4,'2. หน้างบรายจ่าย'!$C:$K,8,0)),0,VLOOKUP($A58&amp;"_"&amp;AI$4,'2. หน้างบรายจ่าย'!$C:$K,8,0)))</f>
        <v>0</v>
      </c>
      <c r="AJ58" s="340">
        <f>IF($C58="",0,IF(ISNA(VLOOKUP($A58&amp;"_"&amp;AJ$4,'2. หน้างบรายจ่าย'!$C:$K,9,0)),0,VLOOKUP($A58&amp;"_"&amp;AJ$4,'2. หน้างบรายจ่าย'!$C:$K,9,0)))</f>
        <v>0</v>
      </c>
      <c r="AK58" s="341">
        <f>IF($C58="",0,IF(ISNA(VLOOKUP($A58&amp;"_"&amp;AK$4,'2. หน้างบรายจ่าย'!$C:$K,7,0)),0,VLOOKUP($A58&amp;"_"&amp;AK$4,'2. หน้างบรายจ่าย'!$C:$K,7,0)))</f>
        <v>0</v>
      </c>
      <c r="AL58" s="342">
        <f>IF($C58="",0,IF(ISNA(VLOOKUP($A58&amp;"_"&amp;AL$4,'2. หน้างบรายจ่าย'!$C:$K,8,0)),0,VLOOKUP($A58&amp;"_"&amp;AL$4,'2. หน้างบรายจ่าย'!$C:$K,8,0)))</f>
        <v>0</v>
      </c>
      <c r="AM58" s="340">
        <f>IF($C58="",0,IF(ISNA(VLOOKUP($A58&amp;"_"&amp;AM$4,'2. หน้างบรายจ่าย'!$C:$K,9,0)),0,VLOOKUP($A58&amp;"_"&amp;AM$4,'2. หน้างบรายจ่าย'!$C:$K,9,0)))</f>
        <v>0</v>
      </c>
      <c r="AP58" s="171" t="str">
        <f t="shared" si="25"/>
        <v>No</v>
      </c>
    </row>
    <row r="59" spans="1:42" ht="27" hidden="1">
      <c r="A59" s="210">
        <v>30</v>
      </c>
      <c r="B59" s="385" t="str">
        <f>IF(ISNA(VLOOKUP(A59,'2. หน้างบรายจ่าย'!$A:$K,4,0)),"",TEXT(VLOOKUP(A59,'2. หน้างบรายจ่าย'!$A:$K,4,0),"dd ดดด yy"))</f>
        <v/>
      </c>
      <c r="C59" s="335" t="str">
        <f>IF(ISNA(VLOOKUP(A59,'2. หน้างบรายจ่าย'!$A:$K,8,0)),"",VLOOKUP(A59,'2. หน้างบรายจ่าย'!$A:$K,8,0))</f>
        <v/>
      </c>
      <c r="D59" s="274">
        <f t="shared" si="22"/>
        <v>0</v>
      </c>
      <c r="E59" s="275">
        <f t="shared" si="23"/>
        <v>0</v>
      </c>
      <c r="F59" s="274">
        <f t="shared" si="24"/>
        <v>0</v>
      </c>
      <c r="G59" s="338">
        <f>IF($C59="",0,IF(ISNA(VLOOKUP($A59&amp;"_"&amp;G$4,'2. หน้างบรายจ่าย'!$C:$K,7,0)),0,VLOOKUP($A59&amp;"_"&amp;G$4,'2. หน้างบรายจ่าย'!$C:$K,7,0)))</f>
        <v>0</v>
      </c>
      <c r="H59" s="338">
        <f>IF($C59="",0,IF(ISNA(VLOOKUP($A59&amp;"_"&amp;H$4,'2. หน้างบรายจ่าย'!$C:$K,8,0)),0,VLOOKUP($A59&amp;"_"&amp;H$4,'2. หน้างบรายจ่าย'!$C:$K,8,0)))</f>
        <v>0</v>
      </c>
      <c r="I59" s="338">
        <f>IF($C59="",0,IF(ISNA(VLOOKUP($A59&amp;"_"&amp;I$4,'2. หน้างบรายจ่าย'!$C:$K,9,0)),0,VLOOKUP($A59&amp;"_"&amp;I$4,'2. หน้างบรายจ่าย'!$C:$K,9,0)))</f>
        <v>0</v>
      </c>
      <c r="J59" s="338">
        <f>IF($C59="",0,IF(ISNA(VLOOKUP($A59&amp;"_"&amp;J$4,'2. หน้างบรายจ่าย'!$C:$K,7,0)),0,VLOOKUP($A59&amp;"_"&amp;J$4,'2. หน้างบรายจ่าย'!$C:$K,7,0)))</f>
        <v>0</v>
      </c>
      <c r="K59" s="338">
        <f>IF($C59="",0,IF(ISNA(VLOOKUP($A59&amp;"_"&amp;K$4,'2. หน้างบรายจ่าย'!$C:$K,8,0)),0,VLOOKUP($A59&amp;"_"&amp;K$4,'2. หน้างบรายจ่าย'!$C:$K,8,0)))</f>
        <v>0</v>
      </c>
      <c r="L59" s="338">
        <f>IF($C59="",0,IF(ISNA(VLOOKUP($A59&amp;"_"&amp;L$4,'2. หน้างบรายจ่าย'!$C:$K,9,0)),0,VLOOKUP($A59&amp;"_"&amp;L$4,'2. หน้างบรายจ่าย'!$C:$K,9,0)))</f>
        <v>0</v>
      </c>
      <c r="M59" s="338">
        <f>IF($C59="",0,IF(ISNA(VLOOKUP($A59&amp;"_"&amp;M$4,'2. หน้างบรายจ่าย'!$C:$K,7,0)),0,VLOOKUP($A59&amp;"_"&amp;M$4,'2. หน้างบรายจ่าย'!$C:$K,7,0)))</f>
        <v>0</v>
      </c>
      <c r="N59" s="338">
        <f>IF($C59="",0,IF(ISNA(VLOOKUP($A59&amp;"_"&amp;N$4,'2. หน้างบรายจ่าย'!$C:$K,8,0)),0,VLOOKUP($A59&amp;"_"&amp;N$4,'2. หน้างบรายจ่าย'!$C:$K,8,0)))</f>
        <v>0</v>
      </c>
      <c r="O59" s="340">
        <f>IF($C59="",0,IF(ISNA(VLOOKUP($A59&amp;"_"&amp;O$4,'2. หน้างบรายจ่าย'!$C:$K,9,0)),0,VLOOKUP($A59&amp;"_"&amp;O$4,'2. หน้างบรายจ่าย'!$C:$K,9,0)))</f>
        <v>0</v>
      </c>
      <c r="P59" s="337">
        <f>IF($C59="",0,IF(ISNA(VLOOKUP($A59&amp;"_"&amp;P$4,'2. หน้างบรายจ่าย'!$C:$K,7,0)),0,VLOOKUP($A59&amp;"_"&amp;P$4,'2. หน้างบรายจ่าย'!$C:$K,7,0)))</f>
        <v>0</v>
      </c>
      <c r="Q59" s="341">
        <f>IF($C59="",0,IF(ISNA(VLOOKUP($A59&amp;"_"&amp;Q$4,'2. หน้างบรายจ่าย'!$C:$K,8,0)),0,VLOOKUP($A59&amp;"_"&amp;Q$4,'2. หน้างบรายจ่าย'!$C:$K,8,0)))</f>
        <v>0</v>
      </c>
      <c r="R59" s="338">
        <f>IF($C59="",0,IF(ISNA(VLOOKUP($A59&amp;"_"&amp;R$4,'2. หน้างบรายจ่าย'!$C:$K,9,0)),0,VLOOKUP($A59&amp;"_"&amp;R$4,'2. หน้างบรายจ่าย'!$C:$K,9,0)))</f>
        <v>0</v>
      </c>
      <c r="S59" s="338">
        <f>IF($C59="",0,IF(ISNA(VLOOKUP($A59&amp;"_"&amp;S$4,'2. หน้างบรายจ่าย'!$C:$K,7,0)),0,VLOOKUP($A59&amp;"_"&amp;S$4,'2. หน้างบรายจ่าย'!$C:$K,7,0)))</f>
        <v>0</v>
      </c>
      <c r="T59" s="338">
        <f>IF($C59="",0,IF(ISNA(VLOOKUP($A59&amp;"_"&amp;T$4,'2. หน้างบรายจ่าย'!$C:$K,8,0)),0,VLOOKUP($A59&amp;"_"&amp;T$4,'2. หน้างบรายจ่าย'!$C:$K,8,0)))</f>
        <v>0</v>
      </c>
      <c r="U59" s="338">
        <f>IF($C59="",0,IF(ISNA(VLOOKUP($A59&amp;"_"&amp;U$4,'2. หน้างบรายจ่าย'!$C:$K,9,0)),0,VLOOKUP($A59&amp;"_"&amp;U$4,'2. หน้างบรายจ่าย'!$C:$K,9,0)))</f>
        <v>0</v>
      </c>
      <c r="V59" s="338">
        <f>IF($C59="",0,IF(ISNA(VLOOKUP($A59&amp;"_"&amp;V$4,'2. หน้างบรายจ่าย'!$C:$K,7,0)),0,VLOOKUP($A59&amp;"_"&amp;V$4,'2. หน้างบรายจ่าย'!$C:$K,7,0)))</f>
        <v>0</v>
      </c>
      <c r="W59" s="338">
        <f>IF($C59="",0,IF(ISNA(VLOOKUP($A59&amp;"_"&amp;W$4,'2. หน้างบรายจ่าย'!$C:$K,8,0)),0,VLOOKUP($A59&amp;"_"&amp;W$4,'2. หน้างบรายจ่าย'!$C:$K,8,0)))</f>
        <v>0</v>
      </c>
      <c r="X59" s="338">
        <f>IF($C59="",0,IF(ISNA(VLOOKUP($A59&amp;"_"&amp;X$4,'2. หน้างบรายจ่าย'!$C:$K,9,0)),0,VLOOKUP($A59&amp;"_"&amp;X$4,'2. หน้างบรายจ่าย'!$C:$K,9,0)))</f>
        <v>0</v>
      </c>
      <c r="Y59" s="338">
        <f>IF($C59="",0,IF(ISNA(VLOOKUP($A59&amp;"_"&amp;Y$4,'2. หน้างบรายจ่าย'!$C:$K,7,0)),0,VLOOKUP($A59&amp;"_"&amp;Y$4,'2. หน้างบรายจ่าย'!$C:$K,7,0)))</f>
        <v>0</v>
      </c>
      <c r="Z59" s="338">
        <f>IF($C59="",0,IF(ISNA(VLOOKUP($A59&amp;"_"&amp;Z$4,'2. หน้างบรายจ่าย'!$C:$K,8,0)),0,VLOOKUP($A59&amp;"_"&amp;Z$4,'2. หน้างบรายจ่าย'!$C:$K,8,0)))</f>
        <v>0</v>
      </c>
      <c r="AA59" s="338">
        <f>IF($C59="",0,IF(ISNA(VLOOKUP($A59&amp;"_"&amp;AA$4,'2. หน้างบรายจ่าย'!$C:$K,9,0)),0,VLOOKUP($A59&amp;"_"&amp;AA$4,'2. หน้างบรายจ่าย'!$C:$K,9,0)))</f>
        <v>0</v>
      </c>
      <c r="AB59" s="338">
        <f>IF($C59="",0,IF(ISNA(VLOOKUP($A59&amp;"_"&amp;AB$4,'2. หน้างบรายจ่าย'!$C:$K,7,0)),0,VLOOKUP($A59&amp;"_"&amp;AB$4,'2. หน้างบรายจ่าย'!$C:$K,7,0)))</f>
        <v>0</v>
      </c>
      <c r="AC59" s="339">
        <f>IF($C59="",0,IF(ISNA(VLOOKUP($A59&amp;"_"&amp;AC$4,'2. หน้างบรายจ่าย'!$C:$K,8,0)),0,VLOOKUP($A59&amp;"_"&amp;AC$4,'2. หน้างบรายจ่าย'!$C:$K,8,0)))</f>
        <v>0</v>
      </c>
      <c r="AD59" s="340">
        <f>IF($C59="",0,IF(ISNA(VLOOKUP($A59&amp;"_"&amp;AD$4,'2. หน้างบรายจ่าย'!$C:$K,9,0)),0,VLOOKUP($A59&amp;"_"&amp;AD$4,'2. หน้างบรายจ่าย'!$C:$K,9,0)))</f>
        <v>0</v>
      </c>
      <c r="AE59" s="337">
        <f>IF($C59="",0,IF(ISNA(VLOOKUP($A59&amp;"_"&amp;AE$4,'2. หน้างบรายจ่าย'!$C:$K,7,0)),0,VLOOKUP($A59&amp;"_"&amp;AE$4,'2. หน้างบรายจ่าย'!$C:$K,7,0)))</f>
        <v>0</v>
      </c>
      <c r="AF59" s="342">
        <f>IF($C59="",0,IF(ISNA(VLOOKUP($A59&amp;"_"&amp;AF$4,'2. หน้างบรายจ่าย'!$C:$K,8,0)),0,VLOOKUP($A59&amp;"_"&amp;AF$4,'2. หน้างบรายจ่าย'!$C:$K,8,0)))</f>
        <v>0</v>
      </c>
      <c r="AG59" s="340">
        <f>IF($C59="",0,IF(ISNA(VLOOKUP($A59&amp;"_"&amp;AG$4,'2. หน้างบรายจ่าย'!$C:$K,9,0)),0,VLOOKUP($A59&amp;"_"&amp;AG$4,'2. หน้างบรายจ่าย'!$C:$K,9,0)))</f>
        <v>0</v>
      </c>
      <c r="AH59" s="341">
        <f>IF($C59="",0,IF(ISNA(VLOOKUP($A59&amp;"_"&amp;AH$4,'2. หน้างบรายจ่าย'!$C:$K,7,0)),0,VLOOKUP($A59&amp;"_"&amp;AH$4,'2. หน้างบรายจ่าย'!$C:$K,7,0)))</f>
        <v>0</v>
      </c>
      <c r="AI59" s="342">
        <f>IF($C59="",0,IF(ISNA(VLOOKUP($A59&amp;"_"&amp;AI$4,'2. หน้างบรายจ่าย'!$C:$K,8,0)),0,VLOOKUP($A59&amp;"_"&amp;AI$4,'2. หน้างบรายจ่าย'!$C:$K,8,0)))</f>
        <v>0</v>
      </c>
      <c r="AJ59" s="340">
        <f>IF($C59="",0,IF(ISNA(VLOOKUP($A59&amp;"_"&amp;AJ$4,'2. หน้างบรายจ่าย'!$C:$K,9,0)),0,VLOOKUP($A59&amp;"_"&amp;AJ$4,'2. หน้างบรายจ่าย'!$C:$K,9,0)))</f>
        <v>0</v>
      </c>
      <c r="AK59" s="341">
        <f>IF($C59="",0,IF(ISNA(VLOOKUP($A59&amp;"_"&amp;AK$4,'2. หน้างบรายจ่าย'!$C:$K,7,0)),0,VLOOKUP($A59&amp;"_"&amp;AK$4,'2. หน้างบรายจ่าย'!$C:$K,7,0)))</f>
        <v>0</v>
      </c>
      <c r="AL59" s="342">
        <f>IF($C59="",0,IF(ISNA(VLOOKUP($A59&amp;"_"&amp;AL$4,'2. หน้างบรายจ่าย'!$C:$K,8,0)),0,VLOOKUP($A59&amp;"_"&amp;AL$4,'2. หน้างบรายจ่าย'!$C:$K,8,0)))</f>
        <v>0</v>
      </c>
      <c r="AM59" s="340">
        <f>IF($C59="",0,IF(ISNA(VLOOKUP($A59&amp;"_"&amp;AM$4,'2. หน้างบรายจ่าย'!$C:$K,9,0)),0,VLOOKUP($A59&amp;"_"&amp;AM$4,'2. หน้างบรายจ่าย'!$C:$K,9,0)))</f>
        <v>0</v>
      </c>
      <c r="AP59" s="171" t="str">
        <f t="shared" si="25"/>
        <v>No</v>
      </c>
    </row>
    <row r="60" spans="1:42" ht="27" hidden="1">
      <c r="A60" s="210">
        <v>31</v>
      </c>
      <c r="B60" s="385" t="str">
        <f>IF(ISNA(VLOOKUP(A60,'2. หน้างบรายจ่าย'!$A:$K,4,0)),"",TEXT(VLOOKUP(A60,'2. หน้างบรายจ่าย'!$A:$K,4,0),"dd ดดด yy"))</f>
        <v/>
      </c>
      <c r="C60" s="335" t="str">
        <f>IF(ISNA(VLOOKUP(A60,'2. หน้างบรายจ่าย'!$A:$K,8,0)),"",VLOOKUP(A60,'2. หน้างบรายจ่าย'!$A:$K,8,0))</f>
        <v/>
      </c>
      <c r="D60" s="274">
        <f t="shared" si="22"/>
        <v>0</v>
      </c>
      <c r="E60" s="275">
        <f t="shared" si="23"/>
        <v>0</v>
      </c>
      <c r="F60" s="274">
        <f t="shared" si="24"/>
        <v>0</v>
      </c>
      <c r="G60" s="338">
        <f>IF($C60="",0,IF(ISNA(VLOOKUP($A60&amp;"_"&amp;G$4,'2. หน้างบรายจ่าย'!$C:$K,7,0)),0,VLOOKUP($A60&amp;"_"&amp;G$4,'2. หน้างบรายจ่าย'!$C:$K,7,0)))</f>
        <v>0</v>
      </c>
      <c r="H60" s="338">
        <f>IF($C60="",0,IF(ISNA(VLOOKUP($A60&amp;"_"&amp;H$4,'2. หน้างบรายจ่าย'!$C:$K,8,0)),0,VLOOKUP($A60&amp;"_"&amp;H$4,'2. หน้างบรายจ่าย'!$C:$K,8,0)))</f>
        <v>0</v>
      </c>
      <c r="I60" s="338">
        <f>IF($C60="",0,IF(ISNA(VLOOKUP($A60&amp;"_"&amp;I$4,'2. หน้างบรายจ่าย'!$C:$K,9,0)),0,VLOOKUP($A60&amp;"_"&amp;I$4,'2. หน้างบรายจ่าย'!$C:$K,9,0)))</f>
        <v>0</v>
      </c>
      <c r="J60" s="338">
        <f>IF($C60="",0,IF(ISNA(VLOOKUP($A60&amp;"_"&amp;J$4,'2. หน้างบรายจ่าย'!$C:$K,7,0)),0,VLOOKUP($A60&amp;"_"&amp;J$4,'2. หน้างบรายจ่าย'!$C:$K,7,0)))</f>
        <v>0</v>
      </c>
      <c r="K60" s="338">
        <f>IF($C60="",0,IF(ISNA(VLOOKUP($A60&amp;"_"&amp;K$4,'2. หน้างบรายจ่าย'!$C:$K,8,0)),0,VLOOKUP($A60&amp;"_"&amp;K$4,'2. หน้างบรายจ่าย'!$C:$K,8,0)))</f>
        <v>0</v>
      </c>
      <c r="L60" s="338">
        <f>IF($C60="",0,IF(ISNA(VLOOKUP($A60&amp;"_"&amp;L$4,'2. หน้างบรายจ่าย'!$C:$K,9,0)),0,VLOOKUP($A60&amp;"_"&amp;L$4,'2. หน้างบรายจ่าย'!$C:$K,9,0)))</f>
        <v>0</v>
      </c>
      <c r="M60" s="338">
        <f>IF($C60="",0,IF(ISNA(VLOOKUP($A60&amp;"_"&amp;M$4,'2. หน้างบรายจ่าย'!$C:$K,7,0)),0,VLOOKUP($A60&amp;"_"&amp;M$4,'2. หน้างบรายจ่าย'!$C:$K,7,0)))</f>
        <v>0</v>
      </c>
      <c r="N60" s="338">
        <f>IF($C60="",0,IF(ISNA(VLOOKUP($A60&amp;"_"&amp;N$4,'2. หน้างบรายจ่าย'!$C:$K,8,0)),0,VLOOKUP($A60&amp;"_"&amp;N$4,'2. หน้างบรายจ่าย'!$C:$K,8,0)))</f>
        <v>0</v>
      </c>
      <c r="O60" s="340">
        <f>IF($C60="",0,IF(ISNA(VLOOKUP($A60&amp;"_"&amp;O$4,'2. หน้างบรายจ่าย'!$C:$K,9,0)),0,VLOOKUP($A60&amp;"_"&amp;O$4,'2. หน้างบรายจ่าย'!$C:$K,9,0)))</f>
        <v>0</v>
      </c>
      <c r="P60" s="337">
        <f>IF($C60="",0,IF(ISNA(VLOOKUP($A60&amp;"_"&amp;P$4,'2. หน้างบรายจ่าย'!$C:$K,7,0)),0,VLOOKUP($A60&amp;"_"&amp;P$4,'2. หน้างบรายจ่าย'!$C:$K,7,0)))</f>
        <v>0</v>
      </c>
      <c r="Q60" s="341">
        <f>IF($C60="",0,IF(ISNA(VLOOKUP($A60&amp;"_"&amp;Q$4,'2. หน้างบรายจ่าย'!$C:$K,8,0)),0,VLOOKUP($A60&amp;"_"&amp;Q$4,'2. หน้างบรายจ่าย'!$C:$K,8,0)))</f>
        <v>0</v>
      </c>
      <c r="R60" s="338">
        <f>IF($C60="",0,IF(ISNA(VLOOKUP($A60&amp;"_"&amp;R$4,'2. หน้างบรายจ่าย'!$C:$K,9,0)),0,VLOOKUP($A60&amp;"_"&amp;R$4,'2. หน้างบรายจ่าย'!$C:$K,9,0)))</f>
        <v>0</v>
      </c>
      <c r="S60" s="338">
        <f>IF($C60="",0,IF(ISNA(VLOOKUP($A60&amp;"_"&amp;S$4,'2. หน้างบรายจ่าย'!$C:$K,7,0)),0,VLOOKUP($A60&amp;"_"&amp;S$4,'2. หน้างบรายจ่าย'!$C:$K,7,0)))</f>
        <v>0</v>
      </c>
      <c r="T60" s="338">
        <f>IF($C60="",0,IF(ISNA(VLOOKUP($A60&amp;"_"&amp;T$4,'2. หน้างบรายจ่าย'!$C:$K,8,0)),0,VLOOKUP($A60&amp;"_"&amp;T$4,'2. หน้างบรายจ่าย'!$C:$K,8,0)))</f>
        <v>0</v>
      </c>
      <c r="U60" s="338">
        <f>IF($C60="",0,IF(ISNA(VLOOKUP($A60&amp;"_"&amp;U$4,'2. หน้างบรายจ่าย'!$C:$K,9,0)),0,VLOOKUP($A60&amp;"_"&amp;U$4,'2. หน้างบรายจ่าย'!$C:$K,9,0)))</f>
        <v>0</v>
      </c>
      <c r="V60" s="338">
        <f>IF($C60="",0,IF(ISNA(VLOOKUP($A60&amp;"_"&amp;V$4,'2. หน้างบรายจ่าย'!$C:$K,7,0)),0,VLOOKUP($A60&amp;"_"&amp;V$4,'2. หน้างบรายจ่าย'!$C:$K,7,0)))</f>
        <v>0</v>
      </c>
      <c r="W60" s="338">
        <f>IF($C60="",0,IF(ISNA(VLOOKUP($A60&amp;"_"&amp;W$4,'2. หน้างบรายจ่าย'!$C:$K,8,0)),0,VLOOKUP($A60&amp;"_"&amp;W$4,'2. หน้างบรายจ่าย'!$C:$K,8,0)))</f>
        <v>0</v>
      </c>
      <c r="X60" s="338">
        <f>IF($C60="",0,IF(ISNA(VLOOKUP($A60&amp;"_"&amp;X$4,'2. หน้างบรายจ่าย'!$C:$K,9,0)),0,VLOOKUP($A60&amp;"_"&amp;X$4,'2. หน้างบรายจ่าย'!$C:$K,9,0)))</f>
        <v>0</v>
      </c>
      <c r="Y60" s="338">
        <f>IF($C60="",0,IF(ISNA(VLOOKUP($A60&amp;"_"&amp;Y$4,'2. หน้างบรายจ่าย'!$C:$K,7,0)),0,VLOOKUP($A60&amp;"_"&amp;Y$4,'2. หน้างบรายจ่าย'!$C:$K,7,0)))</f>
        <v>0</v>
      </c>
      <c r="Z60" s="338">
        <f>IF($C60="",0,IF(ISNA(VLOOKUP($A60&amp;"_"&amp;Z$4,'2. หน้างบรายจ่าย'!$C:$K,8,0)),0,VLOOKUP($A60&amp;"_"&amp;Z$4,'2. หน้างบรายจ่าย'!$C:$K,8,0)))</f>
        <v>0</v>
      </c>
      <c r="AA60" s="338">
        <f>IF($C60="",0,IF(ISNA(VLOOKUP($A60&amp;"_"&amp;AA$4,'2. หน้างบรายจ่าย'!$C:$K,9,0)),0,VLOOKUP($A60&amp;"_"&amp;AA$4,'2. หน้างบรายจ่าย'!$C:$K,9,0)))</f>
        <v>0</v>
      </c>
      <c r="AB60" s="338">
        <f>IF($C60="",0,IF(ISNA(VLOOKUP($A60&amp;"_"&amp;AB$4,'2. หน้างบรายจ่าย'!$C:$K,7,0)),0,VLOOKUP($A60&amp;"_"&amp;AB$4,'2. หน้างบรายจ่าย'!$C:$K,7,0)))</f>
        <v>0</v>
      </c>
      <c r="AC60" s="339">
        <f>IF($C60="",0,IF(ISNA(VLOOKUP($A60&amp;"_"&amp;AC$4,'2. หน้างบรายจ่าย'!$C:$K,8,0)),0,VLOOKUP($A60&amp;"_"&amp;AC$4,'2. หน้างบรายจ่าย'!$C:$K,8,0)))</f>
        <v>0</v>
      </c>
      <c r="AD60" s="340">
        <f>IF($C60="",0,IF(ISNA(VLOOKUP($A60&amp;"_"&amp;AD$4,'2. หน้างบรายจ่าย'!$C:$K,9,0)),0,VLOOKUP($A60&amp;"_"&amp;AD$4,'2. หน้างบรายจ่าย'!$C:$K,9,0)))</f>
        <v>0</v>
      </c>
      <c r="AE60" s="337">
        <f>IF($C60="",0,IF(ISNA(VLOOKUP($A60&amp;"_"&amp;AE$4,'2. หน้างบรายจ่าย'!$C:$K,7,0)),0,VLOOKUP($A60&amp;"_"&amp;AE$4,'2. หน้างบรายจ่าย'!$C:$K,7,0)))</f>
        <v>0</v>
      </c>
      <c r="AF60" s="342">
        <f>IF($C60="",0,IF(ISNA(VLOOKUP($A60&amp;"_"&amp;AF$4,'2. หน้างบรายจ่าย'!$C:$K,8,0)),0,VLOOKUP($A60&amp;"_"&amp;AF$4,'2. หน้างบรายจ่าย'!$C:$K,8,0)))</f>
        <v>0</v>
      </c>
      <c r="AG60" s="340">
        <f>IF($C60="",0,IF(ISNA(VLOOKUP($A60&amp;"_"&amp;AG$4,'2. หน้างบรายจ่าย'!$C:$K,9,0)),0,VLOOKUP($A60&amp;"_"&amp;AG$4,'2. หน้างบรายจ่าย'!$C:$K,9,0)))</f>
        <v>0</v>
      </c>
      <c r="AH60" s="341">
        <f>IF($C60="",0,IF(ISNA(VLOOKUP($A60&amp;"_"&amp;AH$4,'2. หน้างบรายจ่าย'!$C:$K,7,0)),0,VLOOKUP($A60&amp;"_"&amp;AH$4,'2. หน้างบรายจ่าย'!$C:$K,7,0)))</f>
        <v>0</v>
      </c>
      <c r="AI60" s="342">
        <f>IF($C60="",0,IF(ISNA(VLOOKUP($A60&amp;"_"&amp;AI$4,'2. หน้างบรายจ่าย'!$C:$K,8,0)),0,VLOOKUP($A60&amp;"_"&amp;AI$4,'2. หน้างบรายจ่าย'!$C:$K,8,0)))</f>
        <v>0</v>
      </c>
      <c r="AJ60" s="340">
        <f>IF($C60="",0,IF(ISNA(VLOOKUP($A60&amp;"_"&amp;AJ$4,'2. หน้างบรายจ่าย'!$C:$K,9,0)),0,VLOOKUP($A60&amp;"_"&amp;AJ$4,'2. หน้างบรายจ่าย'!$C:$K,9,0)))</f>
        <v>0</v>
      </c>
      <c r="AK60" s="341">
        <f>IF($C60="",0,IF(ISNA(VLOOKUP($A60&amp;"_"&amp;AK$4,'2. หน้างบรายจ่าย'!$C:$K,7,0)),0,VLOOKUP($A60&amp;"_"&amp;AK$4,'2. หน้างบรายจ่าย'!$C:$K,7,0)))</f>
        <v>0</v>
      </c>
      <c r="AL60" s="342">
        <f>IF($C60="",0,IF(ISNA(VLOOKUP($A60&amp;"_"&amp;AL$4,'2. หน้างบรายจ่าย'!$C:$K,8,0)),0,VLOOKUP($A60&amp;"_"&amp;AL$4,'2. หน้างบรายจ่าย'!$C:$K,8,0)))</f>
        <v>0</v>
      </c>
      <c r="AM60" s="340">
        <f>IF($C60="",0,IF(ISNA(VLOOKUP($A60&amp;"_"&amp;AM$4,'2. หน้างบรายจ่าย'!$C:$K,9,0)),0,VLOOKUP($A60&amp;"_"&amp;AM$4,'2. หน้างบรายจ่าย'!$C:$K,9,0)))</f>
        <v>0</v>
      </c>
      <c r="AP60" s="171" t="str">
        <f t="shared" si="25"/>
        <v>No</v>
      </c>
    </row>
    <row r="61" spans="1:42" ht="27" hidden="1">
      <c r="A61" s="210">
        <v>32</v>
      </c>
      <c r="B61" s="385" t="str">
        <f>IF(ISNA(VLOOKUP(A61,'2. หน้างบรายจ่าย'!$A:$K,4,0)),"",TEXT(VLOOKUP(A61,'2. หน้างบรายจ่าย'!$A:$K,4,0),"dd ดดด yy"))</f>
        <v/>
      </c>
      <c r="C61" s="335" t="str">
        <f>IF(ISNA(VLOOKUP(A61,'2. หน้างบรายจ่าย'!$A:$K,8,0)),"",VLOOKUP(A61,'2. หน้างบรายจ่าย'!$A:$K,8,0))</f>
        <v/>
      </c>
      <c r="D61" s="274">
        <f t="shared" si="22"/>
        <v>0</v>
      </c>
      <c r="E61" s="275">
        <f t="shared" si="23"/>
        <v>0</v>
      </c>
      <c r="F61" s="274">
        <f t="shared" si="24"/>
        <v>0</v>
      </c>
      <c r="G61" s="338">
        <f>IF($C61="",0,IF(ISNA(VLOOKUP($A61&amp;"_"&amp;G$4,'2. หน้างบรายจ่าย'!$C:$K,7,0)),0,VLOOKUP($A61&amp;"_"&amp;G$4,'2. หน้างบรายจ่าย'!$C:$K,7,0)))</f>
        <v>0</v>
      </c>
      <c r="H61" s="338">
        <f>IF($C61="",0,IF(ISNA(VLOOKUP($A61&amp;"_"&amp;H$4,'2. หน้างบรายจ่าย'!$C:$K,8,0)),0,VLOOKUP($A61&amp;"_"&amp;H$4,'2. หน้างบรายจ่าย'!$C:$K,8,0)))</f>
        <v>0</v>
      </c>
      <c r="I61" s="338">
        <f>IF($C61="",0,IF(ISNA(VLOOKUP($A61&amp;"_"&amp;I$4,'2. หน้างบรายจ่าย'!$C:$K,9,0)),0,VLOOKUP($A61&amp;"_"&amp;I$4,'2. หน้างบรายจ่าย'!$C:$K,9,0)))</f>
        <v>0</v>
      </c>
      <c r="J61" s="338">
        <f>IF($C61="",0,IF(ISNA(VLOOKUP($A61&amp;"_"&amp;J$4,'2. หน้างบรายจ่าย'!$C:$K,7,0)),0,VLOOKUP($A61&amp;"_"&amp;J$4,'2. หน้างบรายจ่าย'!$C:$K,7,0)))</f>
        <v>0</v>
      </c>
      <c r="K61" s="338">
        <f>IF($C61="",0,IF(ISNA(VLOOKUP($A61&amp;"_"&amp;K$4,'2. หน้างบรายจ่าย'!$C:$K,8,0)),0,VLOOKUP($A61&amp;"_"&amp;K$4,'2. หน้างบรายจ่าย'!$C:$K,8,0)))</f>
        <v>0</v>
      </c>
      <c r="L61" s="338">
        <f>IF($C61="",0,IF(ISNA(VLOOKUP($A61&amp;"_"&amp;L$4,'2. หน้างบรายจ่าย'!$C:$K,9,0)),0,VLOOKUP($A61&amp;"_"&amp;L$4,'2. หน้างบรายจ่าย'!$C:$K,9,0)))</f>
        <v>0</v>
      </c>
      <c r="M61" s="338">
        <f>IF($C61="",0,IF(ISNA(VLOOKUP($A61&amp;"_"&amp;M$4,'2. หน้างบรายจ่าย'!$C:$K,7,0)),0,VLOOKUP($A61&amp;"_"&amp;M$4,'2. หน้างบรายจ่าย'!$C:$K,7,0)))</f>
        <v>0</v>
      </c>
      <c r="N61" s="338">
        <f>IF($C61="",0,IF(ISNA(VLOOKUP($A61&amp;"_"&amp;N$4,'2. หน้างบรายจ่าย'!$C:$K,8,0)),0,VLOOKUP($A61&amp;"_"&amp;N$4,'2. หน้างบรายจ่าย'!$C:$K,8,0)))</f>
        <v>0</v>
      </c>
      <c r="O61" s="340">
        <f>IF($C61="",0,IF(ISNA(VLOOKUP($A61&amp;"_"&amp;O$4,'2. หน้างบรายจ่าย'!$C:$K,9,0)),0,VLOOKUP($A61&amp;"_"&amp;O$4,'2. หน้างบรายจ่าย'!$C:$K,9,0)))</f>
        <v>0</v>
      </c>
      <c r="P61" s="337">
        <f>IF($C61="",0,IF(ISNA(VLOOKUP($A61&amp;"_"&amp;P$4,'2. หน้างบรายจ่าย'!$C:$K,7,0)),0,VLOOKUP($A61&amp;"_"&amp;P$4,'2. หน้างบรายจ่าย'!$C:$K,7,0)))</f>
        <v>0</v>
      </c>
      <c r="Q61" s="341">
        <f>IF($C61="",0,IF(ISNA(VLOOKUP($A61&amp;"_"&amp;Q$4,'2. หน้างบรายจ่าย'!$C:$K,8,0)),0,VLOOKUP($A61&amp;"_"&amp;Q$4,'2. หน้างบรายจ่าย'!$C:$K,8,0)))</f>
        <v>0</v>
      </c>
      <c r="R61" s="338">
        <f>IF($C61="",0,IF(ISNA(VLOOKUP($A61&amp;"_"&amp;R$4,'2. หน้างบรายจ่าย'!$C:$K,9,0)),0,VLOOKUP($A61&amp;"_"&amp;R$4,'2. หน้างบรายจ่าย'!$C:$K,9,0)))</f>
        <v>0</v>
      </c>
      <c r="S61" s="338">
        <f>IF($C61="",0,IF(ISNA(VLOOKUP($A61&amp;"_"&amp;S$4,'2. หน้างบรายจ่าย'!$C:$K,7,0)),0,VLOOKUP($A61&amp;"_"&amp;S$4,'2. หน้างบรายจ่าย'!$C:$K,7,0)))</f>
        <v>0</v>
      </c>
      <c r="T61" s="338">
        <f>IF($C61="",0,IF(ISNA(VLOOKUP($A61&amp;"_"&amp;T$4,'2. หน้างบรายจ่าย'!$C:$K,8,0)),0,VLOOKUP($A61&amp;"_"&amp;T$4,'2. หน้างบรายจ่าย'!$C:$K,8,0)))</f>
        <v>0</v>
      </c>
      <c r="U61" s="338">
        <f>IF($C61="",0,IF(ISNA(VLOOKUP($A61&amp;"_"&amp;U$4,'2. หน้างบรายจ่าย'!$C:$K,9,0)),0,VLOOKUP($A61&amp;"_"&amp;U$4,'2. หน้างบรายจ่าย'!$C:$K,9,0)))</f>
        <v>0</v>
      </c>
      <c r="V61" s="338">
        <f>IF($C61="",0,IF(ISNA(VLOOKUP($A61&amp;"_"&amp;V$4,'2. หน้างบรายจ่าย'!$C:$K,7,0)),0,VLOOKUP($A61&amp;"_"&amp;V$4,'2. หน้างบรายจ่าย'!$C:$K,7,0)))</f>
        <v>0</v>
      </c>
      <c r="W61" s="338">
        <f>IF($C61="",0,IF(ISNA(VLOOKUP($A61&amp;"_"&amp;W$4,'2. หน้างบรายจ่าย'!$C:$K,8,0)),0,VLOOKUP($A61&amp;"_"&amp;W$4,'2. หน้างบรายจ่าย'!$C:$K,8,0)))</f>
        <v>0</v>
      </c>
      <c r="X61" s="338">
        <f>IF($C61="",0,IF(ISNA(VLOOKUP($A61&amp;"_"&amp;X$4,'2. หน้างบรายจ่าย'!$C:$K,9,0)),0,VLOOKUP($A61&amp;"_"&amp;X$4,'2. หน้างบรายจ่าย'!$C:$K,9,0)))</f>
        <v>0</v>
      </c>
      <c r="Y61" s="338">
        <f>IF($C61="",0,IF(ISNA(VLOOKUP($A61&amp;"_"&amp;Y$4,'2. หน้างบรายจ่าย'!$C:$K,7,0)),0,VLOOKUP($A61&amp;"_"&amp;Y$4,'2. หน้างบรายจ่าย'!$C:$K,7,0)))</f>
        <v>0</v>
      </c>
      <c r="Z61" s="338">
        <f>IF($C61="",0,IF(ISNA(VLOOKUP($A61&amp;"_"&amp;Z$4,'2. หน้างบรายจ่าย'!$C:$K,8,0)),0,VLOOKUP($A61&amp;"_"&amp;Z$4,'2. หน้างบรายจ่าย'!$C:$K,8,0)))</f>
        <v>0</v>
      </c>
      <c r="AA61" s="338">
        <f>IF($C61="",0,IF(ISNA(VLOOKUP($A61&amp;"_"&amp;AA$4,'2. หน้างบรายจ่าย'!$C:$K,9,0)),0,VLOOKUP($A61&amp;"_"&amp;AA$4,'2. หน้างบรายจ่าย'!$C:$K,9,0)))</f>
        <v>0</v>
      </c>
      <c r="AB61" s="338">
        <f>IF($C61="",0,IF(ISNA(VLOOKUP($A61&amp;"_"&amp;AB$4,'2. หน้างบรายจ่าย'!$C:$K,7,0)),0,VLOOKUP($A61&amp;"_"&amp;AB$4,'2. หน้างบรายจ่าย'!$C:$K,7,0)))</f>
        <v>0</v>
      </c>
      <c r="AC61" s="339">
        <f>IF($C61="",0,IF(ISNA(VLOOKUP($A61&amp;"_"&amp;AC$4,'2. หน้างบรายจ่าย'!$C:$K,8,0)),0,VLOOKUP($A61&amp;"_"&amp;AC$4,'2. หน้างบรายจ่าย'!$C:$K,8,0)))</f>
        <v>0</v>
      </c>
      <c r="AD61" s="340">
        <f>IF($C61="",0,IF(ISNA(VLOOKUP($A61&amp;"_"&amp;AD$4,'2. หน้างบรายจ่าย'!$C:$K,9,0)),0,VLOOKUP($A61&amp;"_"&amp;AD$4,'2. หน้างบรายจ่าย'!$C:$K,9,0)))</f>
        <v>0</v>
      </c>
      <c r="AE61" s="337">
        <f>IF($C61="",0,IF(ISNA(VLOOKUP($A61&amp;"_"&amp;AE$4,'2. หน้างบรายจ่าย'!$C:$K,7,0)),0,VLOOKUP($A61&amp;"_"&amp;AE$4,'2. หน้างบรายจ่าย'!$C:$K,7,0)))</f>
        <v>0</v>
      </c>
      <c r="AF61" s="342">
        <f>IF($C61="",0,IF(ISNA(VLOOKUP($A61&amp;"_"&amp;AF$4,'2. หน้างบรายจ่าย'!$C:$K,8,0)),0,VLOOKUP($A61&amp;"_"&amp;AF$4,'2. หน้างบรายจ่าย'!$C:$K,8,0)))</f>
        <v>0</v>
      </c>
      <c r="AG61" s="340">
        <f>IF($C61="",0,IF(ISNA(VLOOKUP($A61&amp;"_"&amp;AG$4,'2. หน้างบรายจ่าย'!$C:$K,9,0)),0,VLOOKUP($A61&amp;"_"&amp;AG$4,'2. หน้างบรายจ่าย'!$C:$K,9,0)))</f>
        <v>0</v>
      </c>
      <c r="AH61" s="341">
        <f>IF($C61="",0,IF(ISNA(VLOOKUP($A61&amp;"_"&amp;AH$4,'2. หน้างบรายจ่าย'!$C:$K,7,0)),0,VLOOKUP($A61&amp;"_"&amp;AH$4,'2. หน้างบรายจ่าย'!$C:$K,7,0)))</f>
        <v>0</v>
      </c>
      <c r="AI61" s="342">
        <f>IF($C61="",0,IF(ISNA(VLOOKUP($A61&amp;"_"&amp;AI$4,'2. หน้างบรายจ่าย'!$C:$K,8,0)),0,VLOOKUP($A61&amp;"_"&amp;AI$4,'2. หน้างบรายจ่าย'!$C:$K,8,0)))</f>
        <v>0</v>
      </c>
      <c r="AJ61" s="340">
        <f>IF($C61="",0,IF(ISNA(VLOOKUP($A61&amp;"_"&amp;AJ$4,'2. หน้างบรายจ่าย'!$C:$K,9,0)),0,VLOOKUP($A61&amp;"_"&amp;AJ$4,'2. หน้างบรายจ่าย'!$C:$K,9,0)))</f>
        <v>0</v>
      </c>
      <c r="AK61" s="341">
        <f>IF($C61="",0,IF(ISNA(VLOOKUP($A61&amp;"_"&amp;AK$4,'2. หน้างบรายจ่าย'!$C:$K,7,0)),0,VLOOKUP($A61&amp;"_"&amp;AK$4,'2. หน้างบรายจ่าย'!$C:$K,7,0)))</f>
        <v>0</v>
      </c>
      <c r="AL61" s="342">
        <f>IF($C61="",0,IF(ISNA(VLOOKUP($A61&amp;"_"&amp;AL$4,'2. หน้างบรายจ่าย'!$C:$K,8,0)),0,VLOOKUP($A61&amp;"_"&amp;AL$4,'2. หน้างบรายจ่าย'!$C:$K,8,0)))</f>
        <v>0</v>
      </c>
      <c r="AM61" s="340">
        <f>IF($C61="",0,IF(ISNA(VLOOKUP($A61&amp;"_"&amp;AM$4,'2. หน้างบรายจ่าย'!$C:$K,9,0)),0,VLOOKUP($A61&amp;"_"&amp;AM$4,'2. หน้างบรายจ่าย'!$C:$K,9,0)))</f>
        <v>0</v>
      </c>
      <c r="AP61" s="171" t="str">
        <f t="shared" si="25"/>
        <v>No</v>
      </c>
    </row>
    <row r="62" spans="1:42" ht="27" hidden="1">
      <c r="A62" s="210">
        <v>33</v>
      </c>
      <c r="B62" s="385" t="str">
        <f>IF(ISNA(VLOOKUP(A62,'2. หน้างบรายจ่าย'!$A:$K,4,0)),"",TEXT(VLOOKUP(A62,'2. หน้างบรายจ่าย'!$A:$K,4,0),"dd ดดด yy"))</f>
        <v/>
      </c>
      <c r="C62" s="335" t="str">
        <f>IF(ISNA(VLOOKUP(A62,'2. หน้างบรายจ่าย'!$A:$K,8,0)),"",VLOOKUP(A62,'2. หน้างบรายจ่าย'!$A:$K,8,0))</f>
        <v/>
      </c>
      <c r="D62" s="274">
        <f t="shared" si="22"/>
        <v>0</v>
      </c>
      <c r="E62" s="275">
        <f t="shared" si="23"/>
        <v>0</v>
      </c>
      <c r="F62" s="274">
        <f t="shared" si="24"/>
        <v>0</v>
      </c>
      <c r="G62" s="338">
        <f>IF($C62="",0,IF(ISNA(VLOOKUP($A62&amp;"_"&amp;G$4,'2. หน้างบรายจ่าย'!$C:$K,7,0)),0,VLOOKUP($A62&amp;"_"&amp;G$4,'2. หน้างบรายจ่าย'!$C:$K,7,0)))</f>
        <v>0</v>
      </c>
      <c r="H62" s="338">
        <f>IF($C62="",0,IF(ISNA(VLOOKUP($A62&amp;"_"&amp;H$4,'2. หน้างบรายจ่าย'!$C:$K,8,0)),0,VLOOKUP($A62&amp;"_"&amp;H$4,'2. หน้างบรายจ่าย'!$C:$K,8,0)))</f>
        <v>0</v>
      </c>
      <c r="I62" s="338">
        <f>IF($C62="",0,IF(ISNA(VLOOKUP($A62&amp;"_"&amp;I$4,'2. หน้างบรายจ่าย'!$C:$K,9,0)),0,VLOOKUP($A62&amp;"_"&amp;I$4,'2. หน้างบรายจ่าย'!$C:$K,9,0)))</f>
        <v>0</v>
      </c>
      <c r="J62" s="338">
        <f>IF($C62="",0,IF(ISNA(VLOOKUP($A62&amp;"_"&amp;J$4,'2. หน้างบรายจ่าย'!$C:$K,7,0)),0,VLOOKUP($A62&amp;"_"&amp;J$4,'2. หน้างบรายจ่าย'!$C:$K,7,0)))</f>
        <v>0</v>
      </c>
      <c r="K62" s="338">
        <f>IF($C62="",0,IF(ISNA(VLOOKUP($A62&amp;"_"&amp;K$4,'2. หน้างบรายจ่าย'!$C:$K,8,0)),0,VLOOKUP($A62&amp;"_"&amp;K$4,'2. หน้างบรายจ่าย'!$C:$K,8,0)))</f>
        <v>0</v>
      </c>
      <c r="L62" s="338">
        <f>IF($C62="",0,IF(ISNA(VLOOKUP($A62&amp;"_"&amp;L$4,'2. หน้างบรายจ่าย'!$C:$K,9,0)),0,VLOOKUP($A62&amp;"_"&amp;L$4,'2. หน้างบรายจ่าย'!$C:$K,9,0)))</f>
        <v>0</v>
      </c>
      <c r="M62" s="338">
        <f>IF($C62="",0,IF(ISNA(VLOOKUP($A62&amp;"_"&amp;M$4,'2. หน้างบรายจ่าย'!$C:$K,7,0)),0,VLOOKUP($A62&amp;"_"&amp;M$4,'2. หน้างบรายจ่าย'!$C:$K,7,0)))</f>
        <v>0</v>
      </c>
      <c r="N62" s="338">
        <f>IF($C62="",0,IF(ISNA(VLOOKUP($A62&amp;"_"&amp;N$4,'2. หน้างบรายจ่าย'!$C:$K,8,0)),0,VLOOKUP($A62&amp;"_"&amp;N$4,'2. หน้างบรายจ่าย'!$C:$K,8,0)))</f>
        <v>0</v>
      </c>
      <c r="O62" s="340">
        <f>IF($C62="",0,IF(ISNA(VLOOKUP($A62&amp;"_"&amp;O$4,'2. หน้างบรายจ่าย'!$C:$K,9,0)),0,VLOOKUP($A62&amp;"_"&amp;O$4,'2. หน้างบรายจ่าย'!$C:$K,9,0)))</f>
        <v>0</v>
      </c>
      <c r="P62" s="337">
        <f>IF($C62="",0,IF(ISNA(VLOOKUP($A62&amp;"_"&amp;P$4,'2. หน้างบรายจ่าย'!$C:$K,7,0)),0,VLOOKUP($A62&amp;"_"&amp;P$4,'2. หน้างบรายจ่าย'!$C:$K,7,0)))</f>
        <v>0</v>
      </c>
      <c r="Q62" s="341">
        <f>IF($C62="",0,IF(ISNA(VLOOKUP($A62&amp;"_"&amp;Q$4,'2. หน้างบรายจ่าย'!$C:$K,8,0)),0,VLOOKUP($A62&amp;"_"&amp;Q$4,'2. หน้างบรายจ่าย'!$C:$K,8,0)))</f>
        <v>0</v>
      </c>
      <c r="R62" s="338">
        <f>IF($C62="",0,IF(ISNA(VLOOKUP($A62&amp;"_"&amp;R$4,'2. หน้างบรายจ่าย'!$C:$K,9,0)),0,VLOOKUP($A62&amp;"_"&amp;R$4,'2. หน้างบรายจ่าย'!$C:$K,9,0)))</f>
        <v>0</v>
      </c>
      <c r="S62" s="338">
        <f>IF($C62="",0,IF(ISNA(VLOOKUP($A62&amp;"_"&amp;S$4,'2. หน้างบรายจ่าย'!$C:$K,7,0)),0,VLOOKUP($A62&amp;"_"&amp;S$4,'2. หน้างบรายจ่าย'!$C:$K,7,0)))</f>
        <v>0</v>
      </c>
      <c r="T62" s="338">
        <f>IF($C62="",0,IF(ISNA(VLOOKUP($A62&amp;"_"&amp;T$4,'2. หน้างบรายจ่าย'!$C:$K,8,0)),0,VLOOKUP($A62&amp;"_"&amp;T$4,'2. หน้างบรายจ่าย'!$C:$K,8,0)))</f>
        <v>0</v>
      </c>
      <c r="U62" s="338">
        <f>IF($C62="",0,IF(ISNA(VLOOKUP($A62&amp;"_"&amp;U$4,'2. หน้างบรายจ่าย'!$C:$K,9,0)),0,VLOOKUP($A62&amp;"_"&amp;U$4,'2. หน้างบรายจ่าย'!$C:$K,9,0)))</f>
        <v>0</v>
      </c>
      <c r="V62" s="338">
        <f>IF($C62="",0,IF(ISNA(VLOOKUP($A62&amp;"_"&amp;V$4,'2. หน้างบรายจ่าย'!$C:$K,7,0)),0,VLOOKUP($A62&amp;"_"&amp;V$4,'2. หน้างบรายจ่าย'!$C:$K,7,0)))</f>
        <v>0</v>
      </c>
      <c r="W62" s="338">
        <f>IF($C62="",0,IF(ISNA(VLOOKUP($A62&amp;"_"&amp;W$4,'2. หน้างบรายจ่าย'!$C:$K,8,0)),0,VLOOKUP($A62&amp;"_"&amp;W$4,'2. หน้างบรายจ่าย'!$C:$K,8,0)))</f>
        <v>0</v>
      </c>
      <c r="X62" s="338">
        <f>IF($C62="",0,IF(ISNA(VLOOKUP($A62&amp;"_"&amp;X$4,'2. หน้างบรายจ่าย'!$C:$K,9,0)),0,VLOOKUP($A62&amp;"_"&amp;X$4,'2. หน้างบรายจ่าย'!$C:$K,9,0)))</f>
        <v>0</v>
      </c>
      <c r="Y62" s="338">
        <f>IF($C62="",0,IF(ISNA(VLOOKUP($A62&amp;"_"&amp;Y$4,'2. หน้างบรายจ่าย'!$C:$K,7,0)),0,VLOOKUP($A62&amp;"_"&amp;Y$4,'2. หน้างบรายจ่าย'!$C:$K,7,0)))</f>
        <v>0</v>
      </c>
      <c r="Z62" s="338">
        <f>IF($C62="",0,IF(ISNA(VLOOKUP($A62&amp;"_"&amp;Z$4,'2. หน้างบรายจ่าย'!$C:$K,8,0)),0,VLOOKUP($A62&amp;"_"&amp;Z$4,'2. หน้างบรายจ่าย'!$C:$K,8,0)))</f>
        <v>0</v>
      </c>
      <c r="AA62" s="338">
        <f>IF($C62="",0,IF(ISNA(VLOOKUP($A62&amp;"_"&amp;AA$4,'2. หน้างบรายจ่าย'!$C:$K,9,0)),0,VLOOKUP($A62&amp;"_"&amp;AA$4,'2. หน้างบรายจ่าย'!$C:$K,9,0)))</f>
        <v>0</v>
      </c>
      <c r="AB62" s="338">
        <f>IF($C62="",0,IF(ISNA(VLOOKUP($A62&amp;"_"&amp;AB$4,'2. หน้างบรายจ่าย'!$C:$K,7,0)),0,VLOOKUP($A62&amp;"_"&amp;AB$4,'2. หน้างบรายจ่าย'!$C:$K,7,0)))</f>
        <v>0</v>
      </c>
      <c r="AC62" s="339">
        <f>IF($C62="",0,IF(ISNA(VLOOKUP($A62&amp;"_"&amp;AC$4,'2. หน้างบรายจ่าย'!$C:$K,8,0)),0,VLOOKUP($A62&amp;"_"&amp;AC$4,'2. หน้างบรายจ่าย'!$C:$K,8,0)))</f>
        <v>0</v>
      </c>
      <c r="AD62" s="340">
        <f>IF($C62="",0,IF(ISNA(VLOOKUP($A62&amp;"_"&amp;AD$4,'2. หน้างบรายจ่าย'!$C:$K,9,0)),0,VLOOKUP($A62&amp;"_"&amp;AD$4,'2. หน้างบรายจ่าย'!$C:$K,9,0)))</f>
        <v>0</v>
      </c>
      <c r="AE62" s="337">
        <f>IF($C62="",0,IF(ISNA(VLOOKUP($A62&amp;"_"&amp;AE$4,'2. หน้างบรายจ่าย'!$C:$K,7,0)),0,VLOOKUP($A62&amp;"_"&amp;AE$4,'2. หน้างบรายจ่าย'!$C:$K,7,0)))</f>
        <v>0</v>
      </c>
      <c r="AF62" s="342">
        <f>IF($C62="",0,IF(ISNA(VLOOKUP($A62&amp;"_"&amp;AF$4,'2. หน้างบรายจ่าย'!$C:$K,8,0)),0,VLOOKUP($A62&amp;"_"&amp;AF$4,'2. หน้างบรายจ่าย'!$C:$K,8,0)))</f>
        <v>0</v>
      </c>
      <c r="AG62" s="340">
        <f>IF($C62="",0,IF(ISNA(VLOOKUP($A62&amp;"_"&amp;AG$4,'2. หน้างบรายจ่าย'!$C:$K,9,0)),0,VLOOKUP($A62&amp;"_"&amp;AG$4,'2. หน้างบรายจ่าย'!$C:$K,9,0)))</f>
        <v>0</v>
      </c>
      <c r="AH62" s="341">
        <f>IF($C62="",0,IF(ISNA(VLOOKUP($A62&amp;"_"&amp;AH$4,'2. หน้างบรายจ่าย'!$C:$K,7,0)),0,VLOOKUP($A62&amp;"_"&amp;AH$4,'2. หน้างบรายจ่าย'!$C:$K,7,0)))</f>
        <v>0</v>
      </c>
      <c r="AI62" s="342">
        <f>IF($C62="",0,IF(ISNA(VLOOKUP($A62&amp;"_"&amp;AI$4,'2. หน้างบรายจ่าย'!$C:$K,8,0)),0,VLOOKUP($A62&amp;"_"&amp;AI$4,'2. หน้างบรายจ่าย'!$C:$K,8,0)))</f>
        <v>0</v>
      </c>
      <c r="AJ62" s="340">
        <f>IF($C62="",0,IF(ISNA(VLOOKUP($A62&amp;"_"&amp;AJ$4,'2. หน้างบรายจ่าย'!$C:$K,9,0)),0,VLOOKUP($A62&amp;"_"&amp;AJ$4,'2. หน้างบรายจ่าย'!$C:$K,9,0)))</f>
        <v>0</v>
      </c>
      <c r="AK62" s="341">
        <f>IF($C62="",0,IF(ISNA(VLOOKUP($A62&amp;"_"&amp;AK$4,'2. หน้างบรายจ่าย'!$C:$K,7,0)),0,VLOOKUP($A62&amp;"_"&amp;AK$4,'2. หน้างบรายจ่าย'!$C:$K,7,0)))</f>
        <v>0</v>
      </c>
      <c r="AL62" s="342">
        <f>IF($C62="",0,IF(ISNA(VLOOKUP($A62&amp;"_"&amp;AL$4,'2. หน้างบรายจ่าย'!$C:$K,8,0)),0,VLOOKUP($A62&amp;"_"&amp;AL$4,'2. หน้างบรายจ่าย'!$C:$K,8,0)))</f>
        <v>0</v>
      </c>
      <c r="AM62" s="340">
        <f>IF($C62="",0,IF(ISNA(VLOOKUP($A62&amp;"_"&amp;AM$4,'2. หน้างบรายจ่าย'!$C:$K,9,0)),0,VLOOKUP($A62&amp;"_"&amp;AM$4,'2. หน้างบรายจ่าย'!$C:$K,9,0)))</f>
        <v>0</v>
      </c>
      <c r="AP62" s="171" t="str">
        <f t="shared" si="25"/>
        <v>No</v>
      </c>
    </row>
    <row r="63" spans="1:42" ht="27" hidden="1">
      <c r="A63" s="210">
        <v>34</v>
      </c>
      <c r="B63" s="385" t="str">
        <f>IF(ISNA(VLOOKUP(A63,'2. หน้างบรายจ่าย'!$A:$K,4,0)),"",TEXT(VLOOKUP(A63,'2. หน้างบรายจ่าย'!$A:$K,4,0),"dd ดดด yy"))</f>
        <v/>
      </c>
      <c r="C63" s="335" t="str">
        <f>IF(ISNA(VLOOKUP(A63,'2. หน้างบรายจ่าย'!$A:$K,8,0)),"",VLOOKUP(A63,'2. หน้างบรายจ่าย'!$A:$K,8,0))</f>
        <v/>
      </c>
      <c r="D63" s="274">
        <f t="shared" si="22"/>
        <v>0</v>
      </c>
      <c r="E63" s="275">
        <f t="shared" si="23"/>
        <v>0</v>
      </c>
      <c r="F63" s="274">
        <f t="shared" si="24"/>
        <v>0</v>
      </c>
      <c r="G63" s="338">
        <f>IF($C63="",0,IF(ISNA(VLOOKUP($A63&amp;"_"&amp;G$4,'2. หน้างบรายจ่าย'!$C:$K,7,0)),0,VLOOKUP($A63&amp;"_"&amp;G$4,'2. หน้างบรายจ่าย'!$C:$K,7,0)))</f>
        <v>0</v>
      </c>
      <c r="H63" s="338">
        <f>IF($C63="",0,IF(ISNA(VLOOKUP($A63&amp;"_"&amp;H$4,'2. หน้างบรายจ่าย'!$C:$K,8,0)),0,VLOOKUP($A63&amp;"_"&amp;H$4,'2. หน้างบรายจ่าย'!$C:$K,8,0)))</f>
        <v>0</v>
      </c>
      <c r="I63" s="338">
        <f>IF($C63="",0,IF(ISNA(VLOOKUP($A63&amp;"_"&amp;I$4,'2. หน้างบรายจ่าย'!$C:$K,9,0)),0,VLOOKUP($A63&amp;"_"&amp;I$4,'2. หน้างบรายจ่าย'!$C:$K,9,0)))</f>
        <v>0</v>
      </c>
      <c r="J63" s="338">
        <f>IF($C63="",0,IF(ISNA(VLOOKUP($A63&amp;"_"&amp;J$4,'2. หน้างบรายจ่าย'!$C:$K,7,0)),0,VLOOKUP($A63&amp;"_"&amp;J$4,'2. หน้างบรายจ่าย'!$C:$K,7,0)))</f>
        <v>0</v>
      </c>
      <c r="K63" s="338">
        <f>IF($C63="",0,IF(ISNA(VLOOKUP($A63&amp;"_"&amp;K$4,'2. หน้างบรายจ่าย'!$C:$K,8,0)),0,VLOOKUP($A63&amp;"_"&amp;K$4,'2. หน้างบรายจ่าย'!$C:$K,8,0)))</f>
        <v>0</v>
      </c>
      <c r="L63" s="338">
        <f>IF($C63="",0,IF(ISNA(VLOOKUP($A63&amp;"_"&amp;L$4,'2. หน้างบรายจ่าย'!$C:$K,9,0)),0,VLOOKUP($A63&amp;"_"&amp;L$4,'2. หน้างบรายจ่าย'!$C:$K,9,0)))</f>
        <v>0</v>
      </c>
      <c r="M63" s="338">
        <f>IF($C63="",0,IF(ISNA(VLOOKUP($A63&amp;"_"&amp;M$4,'2. หน้างบรายจ่าย'!$C:$K,7,0)),0,VLOOKUP($A63&amp;"_"&amp;M$4,'2. หน้างบรายจ่าย'!$C:$K,7,0)))</f>
        <v>0</v>
      </c>
      <c r="N63" s="338">
        <f>IF($C63="",0,IF(ISNA(VLOOKUP($A63&amp;"_"&amp;N$4,'2. หน้างบรายจ่าย'!$C:$K,8,0)),0,VLOOKUP($A63&amp;"_"&amp;N$4,'2. หน้างบรายจ่าย'!$C:$K,8,0)))</f>
        <v>0</v>
      </c>
      <c r="O63" s="340">
        <f>IF($C63="",0,IF(ISNA(VLOOKUP($A63&amp;"_"&amp;O$4,'2. หน้างบรายจ่าย'!$C:$K,9,0)),0,VLOOKUP($A63&amp;"_"&amp;O$4,'2. หน้างบรายจ่าย'!$C:$K,9,0)))</f>
        <v>0</v>
      </c>
      <c r="P63" s="337">
        <f>IF($C63="",0,IF(ISNA(VLOOKUP($A63&amp;"_"&amp;P$4,'2. หน้างบรายจ่าย'!$C:$K,7,0)),0,VLOOKUP($A63&amp;"_"&amp;P$4,'2. หน้างบรายจ่าย'!$C:$K,7,0)))</f>
        <v>0</v>
      </c>
      <c r="Q63" s="341">
        <f>IF($C63="",0,IF(ISNA(VLOOKUP($A63&amp;"_"&amp;Q$4,'2. หน้างบรายจ่าย'!$C:$K,8,0)),0,VLOOKUP($A63&amp;"_"&amp;Q$4,'2. หน้างบรายจ่าย'!$C:$K,8,0)))</f>
        <v>0</v>
      </c>
      <c r="R63" s="338">
        <f>IF($C63="",0,IF(ISNA(VLOOKUP($A63&amp;"_"&amp;R$4,'2. หน้างบรายจ่าย'!$C:$K,9,0)),0,VLOOKUP($A63&amp;"_"&amp;R$4,'2. หน้างบรายจ่าย'!$C:$K,9,0)))</f>
        <v>0</v>
      </c>
      <c r="S63" s="338">
        <f>IF($C63="",0,IF(ISNA(VLOOKUP($A63&amp;"_"&amp;S$4,'2. หน้างบรายจ่าย'!$C:$K,7,0)),0,VLOOKUP($A63&amp;"_"&amp;S$4,'2. หน้างบรายจ่าย'!$C:$K,7,0)))</f>
        <v>0</v>
      </c>
      <c r="T63" s="338">
        <f>IF($C63="",0,IF(ISNA(VLOOKUP($A63&amp;"_"&amp;T$4,'2. หน้างบรายจ่าย'!$C:$K,8,0)),0,VLOOKUP($A63&amp;"_"&amp;T$4,'2. หน้างบรายจ่าย'!$C:$K,8,0)))</f>
        <v>0</v>
      </c>
      <c r="U63" s="338">
        <f>IF($C63="",0,IF(ISNA(VLOOKUP($A63&amp;"_"&amp;U$4,'2. หน้างบรายจ่าย'!$C:$K,9,0)),0,VLOOKUP($A63&amp;"_"&amp;U$4,'2. หน้างบรายจ่าย'!$C:$K,9,0)))</f>
        <v>0</v>
      </c>
      <c r="V63" s="338">
        <f>IF($C63="",0,IF(ISNA(VLOOKUP($A63&amp;"_"&amp;V$4,'2. หน้างบรายจ่าย'!$C:$K,7,0)),0,VLOOKUP($A63&amp;"_"&amp;V$4,'2. หน้างบรายจ่าย'!$C:$K,7,0)))</f>
        <v>0</v>
      </c>
      <c r="W63" s="338">
        <f>IF($C63="",0,IF(ISNA(VLOOKUP($A63&amp;"_"&amp;W$4,'2. หน้างบรายจ่าย'!$C:$K,8,0)),0,VLOOKUP($A63&amp;"_"&amp;W$4,'2. หน้างบรายจ่าย'!$C:$K,8,0)))</f>
        <v>0</v>
      </c>
      <c r="X63" s="338">
        <f>IF($C63="",0,IF(ISNA(VLOOKUP($A63&amp;"_"&amp;X$4,'2. หน้างบรายจ่าย'!$C:$K,9,0)),0,VLOOKUP($A63&amp;"_"&amp;X$4,'2. หน้างบรายจ่าย'!$C:$K,9,0)))</f>
        <v>0</v>
      </c>
      <c r="Y63" s="338">
        <f>IF($C63="",0,IF(ISNA(VLOOKUP($A63&amp;"_"&amp;Y$4,'2. หน้างบรายจ่าย'!$C:$K,7,0)),0,VLOOKUP($A63&amp;"_"&amp;Y$4,'2. หน้างบรายจ่าย'!$C:$K,7,0)))</f>
        <v>0</v>
      </c>
      <c r="Z63" s="338">
        <f>IF($C63="",0,IF(ISNA(VLOOKUP($A63&amp;"_"&amp;Z$4,'2. หน้างบรายจ่าย'!$C:$K,8,0)),0,VLOOKUP($A63&amp;"_"&amp;Z$4,'2. หน้างบรายจ่าย'!$C:$K,8,0)))</f>
        <v>0</v>
      </c>
      <c r="AA63" s="338">
        <f>IF($C63="",0,IF(ISNA(VLOOKUP($A63&amp;"_"&amp;AA$4,'2. หน้างบรายจ่าย'!$C:$K,9,0)),0,VLOOKUP($A63&amp;"_"&amp;AA$4,'2. หน้างบรายจ่าย'!$C:$K,9,0)))</f>
        <v>0</v>
      </c>
      <c r="AB63" s="338">
        <f>IF($C63="",0,IF(ISNA(VLOOKUP($A63&amp;"_"&amp;AB$4,'2. หน้างบรายจ่าย'!$C:$K,7,0)),0,VLOOKUP($A63&amp;"_"&amp;AB$4,'2. หน้างบรายจ่าย'!$C:$K,7,0)))</f>
        <v>0</v>
      </c>
      <c r="AC63" s="339">
        <f>IF($C63="",0,IF(ISNA(VLOOKUP($A63&amp;"_"&amp;AC$4,'2. หน้างบรายจ่าย'!$C:$K,8,0)),0,VLOOKUP($A63&amp;"_"&amp;AC$4,'2. หน้างบรายจ่าย'!$C:$K,8,0)))</f>
        <v>0</v>
      </c>
      <c r="AD63" s="340">
        <f>IF($C63="",0,IF(ISNA(VLOOKUP($A63&amp;"_"&amp;AD$4,'2. หน้างบรายจ่าย'!$C:$K,9,0)),0,VLOOKUP($A63&amp;"_"&amp;AD$4,'2. หน้างบรายจ่าย'!$C:$K,9,0)))</f>
        <v>0</v>
      </c>
      <c r="AE63" s="337">
        <f>IF($C63="",0,IF(ISNA(VLOOKUP($A63&amp;"_"&amp;AE$4,'2. หน้างบรายจ่าย'!$C:$K,7,0)),0,VLOOKUP($A63&amp;"_"&amp;AE$4,'2. หน้างบรายจ่าย'!$C:$K,7,0)))</f>
        <v>0</v>
      </c>
      <c r="AF63" s="342">
        <f>IF($C63="",0,IF(ISNA(VLOOKUP($A63&amp;"_"&amp;AF$4,'2. หน้างบรายจ่าย'!$C:$K,8,0)),0,VLOOKUP($A63&amp;"_"&amp;AF$4,'2. หน้างบรายจ่าย'!$C:$K,8,0)))</f>
        <v>0</v>
      </c>
      <c r="AG63" s="340">
        <f>IF($C63="",0,IF(ISNA(VLOOKUP($A63&amp;"_"&amp;AG$4,'2. หน้างบรายจ่าย'!$C:$K,9,0)),0,VLOOKUP($A63&amp;"_"&amp;AG$4,'2. หน้างบรายจ่าย'!$C:$K,9,0)))</f>
        <v>0</v>
      </c>
      <c r="AH63" s="341">
        <f>IF($C63="",0,IF(ISNA(VLOOKUP($A63&amp;"_"&amp;AH$4,'2. หน้างบรายจ่าย'!$C:$K,7,0)),0,VLOOKUP($A63&amp;"_"&amp;AH$4,'2. หน้างบรายจ่าย'!$C:$K,7,0)))</f>
        <v>0</v>
      </c>
      <c r="AI63" s="342">
        <f>IF($C63="",0,IF(ISNA(VLOOKUP($A63&amp;"_"&amp;AI$4,'2. หน้างบรายจ่าย'!$C:$K,8,0)),0,VLOOKUP($A63&amp;"_"&amp;AI$4,'2. หน้างบรายจ่าย'!$C:$K,8,0)))</f>
        <v>0</v>
      </c>
      <c r="AJ63" s="340">
        <f>IF($C63="",0,IF(ISNA(VLOOKUP($A63&amp;"_"&amp;AJ$4,'2. หน้างบรายจ่าย'!$C:$K,9,0)),0,VLOOKUP($A63&amp;"_"&amp;AJ$4,'2. หน้างบรายจ่าย'!$C:$K,9,0)))</f>
        <v>0</v>
      </c>
      <c r="AK63" s="341">
        <f>IF($C63="",0,IF(ISNA(VLOOKUP($A63&amp;"_"&amp;AK$4,'2. หน้างบรายจ่าย'!$C:$K,7,0)),0,VLOOKUP($A63&amp;"_"&amp;AK$4,'2. หน้างบรายจ่าย'!$C:$K,7,0)))</f>
        <v>0</v>
      </c>
      <c r="AL63" s="342">
        <f>IF($C63="",0,IF(ISNA(VLOOKUP($A63&amp;"_"&amp;AL$4,'2. หน้างบรายจ่าย'!$C:$K,8,0)),0,VLOOKUP($A63&amp;"_"&amp;AL$4,'2. หน้างบรายจ่าย'!$C:$K,8,0)))</f>
        <v>0</v>
      </c>
      <c r="AM63" s="340">
        <f>IF($C63="",0,IF(ISNA(VLOOKUP($A63&amp;"_"&amp;AM$4,'2. หน้างบรายจ่าย'!$C:$K,9,0)),0,VLOOKUP($A63&amp;"_"&amp;AM$4,'2. หน้างบรายจ่าย'!$C:$K,9,0)))</f>
        <v>0</v>
      </c>
      <c r="AP63" s="171" t="str">
        <f t="shared" si="25"/>
        <v>No</v>
      </c>
    </row>
    <row r="64" spans="1:42" ht="25.5" hidden="1" customHeight="1">
      <c r="A64" s="210">
        <v>35</v>
      </c>
      <c r="B64" s="244" t="str">
        <f>IF(ISNA(VLOOKUP(A64,'2. หน้างบรายจ่าย'!$A:$K,4,0)),"",TEXT(VLOOKUP(A64,'2. หน้างบรายจ่าย'!$A:$K,4,0),"dd ดดด yy"))</f>
        <v/>
      </c>
      <c r="C64" s="245" t="str">
        <f>IF(ISNA(VLOOKUP(A64,'2. หน้างบรายจ่าย'!$A:$K,8,0)),"",VLOOKUP(A64,'2. หน้างบรายจ่าย'!$A:$K,8,0))</f>
        <v/>
      </c>
      <c r="D64" s="231">
        <f t="shared" si="22"/>
        <v>0</v>
      </c>
      <c r="E64" s="232">
        <f t="shared" si="23"/>
        <v>0</v>
      </c>
      <c r="F64" s="231">
        <f t="shared" si="24"/>
        <v>0</v>
      </c>
      <c r="G64" s="247">
        <f>IF($C64="",0,IF(ISNA(VLOOKUP($A64&amp;"_"&amp;G$4,'2. หน้างบรายจ่าย'!$C:$K,7,0)),0,VLOOKUP($A64&amp;"_"&amp;G$4,'2. หน้างบรายจ่าย'!$C:$K,7,0)))</f>
        <v>0</v>
      </c>
      <c r="H64" s="247">
        <f>IF($C64="",0,IF(ISNA(VLOOKUP($A64&amp;"_"&amp;H$4,'2. หน้างบรายจ่าย'!$C:$K,8,0)),0,VLOOKUP($A64&amp;"_"&amp;H$4,'2. หน้างบรายจ่าย'!$C:$K,8,0)))</f>
        <v>0</v>
      </c>
      <c r="I64" s="247">
        <f>IF($C64="",0,IF(ISNA(VLOOKUP($A64&amp;"_"&amp;I$4,'2. หน้างบรายจ่าย'!$C:$K,9,0)),0,VLOOKUP($A64&amp;"_"&amp;I$4,'2. หน้างบรายจ่าย'!$C:$K,9,0)))</f>
        <v>0</v>
      </c>
      <c r="J64" s="247">
        <f>IF($C64="",0,IF(ISNA(VLOOKUP($A64&amp;"_"&amp;J$4,'2. หน้างบรายจ่าย'!$C:$K,7,0)),0,VLOOKUP($A64&amp;"_"&amp;J$4,'2. หน้างบรายจ่าย'!$C:$K,7,0)))</f>
        <v>0</v>
      </c>
      <c r="K64" s="247">
        <f>IF($C64="",0,IF(ISNA(VLOOKUP($A64&amp;"_"&amp;K$4,'2. หน้างบรายจ่าย'!$C:$K,8,0)),0,VLOOKUP($A64&amp;"_"&amp;K$4,'2. หน้างบรายจ่าย'!$C:$K,8,0)))</f>
        <v>0</v>
      </c>
      <c r="L64" s="247">
        <f>IF($C64="",0,IF(ISNA(VLOOKUP($A64&amp;"_"&amp;L$4,'2. หน้างบรายจ่าย'!$C:$K,9,0)),0,VLOOKUP($A64&amp;"_"&amp;L$4,'2. หน้างบรายจ่าย'!$C:$K,9,0)))</f>
        <v>0</v>
      </c>
      <c r="M64" s="247">
        <f>IF($C64="",0,IF(ISNA(VLOOKUP($A64&amp;"_"&amp;M$4,'2. หน้างบรายจ่าย'!$C:$K,7,0)),0,VLOOKUP($A64&amp;"_"&amp;M$4,'2. หน้างบรายจ่าย'!$C:$K,7,0)))</f>
        <v>0</v>
      </c>
      <c r="N64" s="247">
        <f>IF($C64="",0,IF(ISNA(VLOOKUP($A64&amp;"_"&amp;N$4,'2. หน้างบรายจ่าย'!$C:$K,8,0)),0,VLOOKUP($A64&amp;"_"&amp;N$4,'2. หน้างบรายจ่าย'!$C:$K,8,0)))</f>
        <v>0</v>
      </c>
      <c r="O64" s="248">
        <f>IF($C64="",0,IF(ISNA(VLOOKUP($A64&amp;"_"&amp;O$4,'2. หน้างบรายจ่าย'!$C:$K,9,0)),0,VLOOKUP($A64&amp;"_"&amp;O$4,'2. หน้างบรายจ่าย'!$C:$K,9,0)))</f>
        <v>0</v>
      </c>
      <c r="P64" s="246">
        <f>IF($C64="",0,IF(ISNA(VLOOKUP($A64&amp;"_"&amp;P$4,'2. หน้างบรายจ่าย'!$C:$K,7,0)),0,VLOOKUP($A64&amp;"_"&amp;P$4,'2. หน้างบรายจ่าย'!$C:$K,7,0)))</f>
        <v>0</v>
      </c>
      <c r="Q64" s="249">
        <f>IF($C64="",0,IF(ISNA(VLOOKUP($A64&amp;"_"&amp;Q$4,'2. หน้างบรายจ่าย'!$C:$K,8,0)),0,VLOOKUP($A64&amp;"_"&amp;Q$4,'2. หน้างบรายจ่าย'!$C:$K,8,0)))</f>
        <v>0</v>
      </c>
      <c r="R64" s="247">
        <f>IF($C64="",0,IF(ISNA(VLOOKUP($A64&amp;"_"&amp;R$4,'2. หน้างบรายจ่าย'!$C:$K,9,0)),0,VLOOKUP($A64&amp;"_"&amp;R$4,'2. หน้างบรายจ่าย'!$C:$K,9,0)))</f>
        <v>0</v>
      </c>
      <c r="S64" s="247">
        <f>IF($C64="",0,IF(ISNA(VLOOKUP($A64&amp;"_"&amp;S$4,'2. หน้างบรายจ่าย'!$C:$K,7,0)),0,VLOOKUP($A64&amp;"_"&amp;S$4,'2. หน้างบรายจ่าย'!$C:$K,7,0)))</f>
        <v>0</v>
      </c>
      <c r="T64" s="247">
        <f>IF($C64="",0,IF(ISNA(VLOOKUP($A64&amp;"_"&amp;T$4,'2. หน้างบรายจ่าย'!$C:$K,8,0)),0,VLOOKUP($A64&amp;"_"&amp;T$4,'2. หน้างบรายจ่าย'!$C:$K,8,0)))</f>
        <v>0</v>
      </c>
      <c r="U64" s="247">
        <f>IF($C64="",0,IF(ISNA(VLOOKUP($A64&amp;"_"&amp;U$4,'2. หน้างบรายจ่าย'!$C:$K,9,0)),0,VLOOKUP($A64&amp;"_"&amp;U$4,'2. หน้างบรายจ่าย'!$C:$K,9,0)))</f>
        <v>0</v>
      </c>
      <c r="V64" s="247">
        <f>IF($C64="",0,IF(ISNA(VLOOKUP($A64&amp;"_"&amp;V$4,'2. หน้างบรายจ่าย'!$C:$K,7,0)),0,VLOOKUP($A64&amp;"_"&amp;V$4,'2. หน้างบรายจ่าย'!$C:$K,7,0)))</f>
        <v>0</v>
      </c>
      <c r="W64" s="247">
        <f>IF($C64="",0,IF(ISNA(VLOOKUP($A64&amp;"_"&amp;W$4,'2. หน้างบรายจ่าย'!$C:$K,8,0)),0,VLOOKUP($A64&amp;"_"&amp;W$4,'2. หน้างบรายจ่าย'!$C:$K,8,0)))</f>
        <v>0</v>
      </c>
      <c r="X64" s="247">
        <f>IF($C64="",0,IF(ISNA(VLOOKUP($A64&amp;"_"&amp;X$4,'2. หน้างบรายจ่าย'!$C:$K,9,0)),0,VLOOKUP($A64&amp;"_"&amp;X$4,'2. หน้างบรายจ่าย'!$C:$K,9,0)))</f>
        <v>0</v>
      </c>
      <c r="Y64" s="247">
        <f>IF($C64="",0,IF(ISNA(VLOOKUP($A64&amp;"_"&amp;Y$4,'2. หน้างบรายจ่าย'!$C:$K,7,0)),0,VLOOKUP($A64&amp;"_"&amp;Y$4,'2. หน้างบรายจ่าย'!$C:$K,7,0)))</f>
        <v>0</v>
      </c>
      <c r="Z64" s="247">
        <f>IF($C64="",0,IF(ISNA(VLOOKUP($A64&amp;"_"&amp;Z$4,'2. หน้างบรายจ่าย'!$C:$K,8,0)),0,VLOOKUP($A64&amp;"_"&amp;Z$4,'2. หน้างบรายจ่าย'!$C:$K,8,0)))</f>
        <v>0</v>
      </c>
      <c r="AA64" s="247">
        <f>IF($C64="",0,IF(ISNA(VLOOKUP($A64&amp;"_"&amp;AA$4,'2. หน้างบรายจ่าย'!$C:$K,9,0)),0,VLOOKUP($A64&amp;"_"&amp;AA$4,'2. หน้างบรายจ่าย'!$C:$K,9,0)))</f>
        <v>0</v>
      </c>
      <c r="AB64" s="247">
        <f>IF($C64="",0,IF(ISNA(VLOOKUP($A64&amp;"_"&amp;AB$4,'2. หน้างบรายจ่าย'!$C:$K,7,0)),0,VLOOKUP($A64&amp;"_"&amp;AB$4,'2. หน้างบรายจ่าย'!$C:$K,7,0)))</f>
        <v>0</v>
      </c>
      <c r="AC64" s="251">
        <f>IF($C64="",0,IF(ISNA(VLOOKUP($A64&amp;"_"&amp;AC$4,'2. หน้างบรายจ่าย'!$C:$K,8,0)),0,VLOOKUP($A64&amp;"_"&amp;AC$4,'2. หน้างบรายจ่าย'!$C:$K,8,0)))</f>
        <v>0</v>
      </c>
      <c r="AD64" s="248">
        <f>IF($C64="",0,IF(ISNA(VLOOKUP($A64&amp;"_"&amp;AD$4,'2. หน้างบรายจ่าย'!$C:$K,9,0)),0,VLOOKUP($A64&amp;"_"&amp;AD$4,'2. หน้างบรายจ่าย'!$C:$K,9,0)))</f>
        <v>0</v>
      </c>
      <c r="AE64" s="246">
        <f>IF($C64="",0,IF(ISNA(VLOOKUP($A64&amp;"_"&amp;AE$4,'2. หน้างบรายจ่าย'!$C:$K,7,0)),0,VLOOKUP($A64&amp;"_"&amp;AE$4,'2. หน้างบรายจ่าย'!$C:$K,7,0)))</f>
        <v>0</v>
      </c>
      <c r="AF64" s="250">
        <f>IF($C64="",0,IF(ISNA(VLOOKUP($A64&amp;"_"&amp;AF$4,'2. หน้างบรายจ่าย'!$C:$K,8,0)),0,VLOOKUP($A64&amp;"_"&amp;AF$4,'2. หน้างบรายจ่าย'!$C:$K,8,0)))</f>
        <v>0</v>
      </c>
      <c r="AG64" s="248">
        <f>IF($C64="",0,IF(ISNA(VLOOKUP($A64&amp;"_"&amp;AG$4,'2. หน้างบรายจ่าย'!$C:$K,9,0)),0,VLOOKUP($A64&amp;"_"&amp;AG$4,'2. หน้างบรายจ่าย'!$C:$K,9,0)))</f>
        <v>0</v>
      </c>
      <c r="AH64" s="249">
        <f>IF($C64="",0,IF(ISNA(VLOOKUP($A64&amp;"_"&amp;AH$4,'2. หน้างบรายจ่าย'!$C:$K,7,0)),0,VLOOKUP($A64&amp;"_"&amp;AH$4,'2. หน้างบรายจ่าย'!$C:$K,7,0)))</f>
        <v>0</v>
      </c>
      <c r="AI64" s="250">
        <f>IF($C64="",0,IF(ISNA(VLOOKUP($A64&amp;"_"&amp;AI$4,'2. หน้างบรายจ่าย'!$C:$K,8,0)),0,VLOOKUP($A64&amp;"_"&amp;AI$4,'2. หน้างบรายจ่าย'!$C:$K,8,0)))</f>
        <v>0</v>
      </c>
      <c r="AJ64" s="248">
        <f>IF($C64="",0,IF(ISNA(VLOOKUP($A64&amp;"_"&amp;AJ$4,'2. หน้างบรายจ่าย'!$C:$K,9,0)),0,VLOOKUP($A64&amp;"_"&amp;AJ$4,'2. หน้างบรายจ่าย'!$C:$K,9,0)))</f>
        <v>0</v>
      </c>
      <c r="AK64" s="249">
        <f>IF($C64="",0,IF(ISNA(VLOOKUP($A64&amp;"_"&amp;AK$4,'2. หน้างบรายจ่าย'!$C:$K,7,0)),0,VLOOKUP($A64&amp;"_"&amp;AK$4,'2. หน้างบรายจ่าย'!$C:$K,7,0)))</f>
        <v>0</v>
      </c>
      <c r="AL64" s="250">
        <f>IF($C64="",0,IF(ISNA(VLOOKUP($A64&amp;"_"&amp;AL$4,'2. หน้างบรายจ่าย'!$C:$K,8,0)),0,VLOOKUP($A64&amp;"_"&amp;AL$4,'2. หน้างบรายจ่าย'!$C:$K,8,0)))</f>
        <v>0</v>
      </c>
      <c r="AM64" s="248">
        <f>IF($C64="",0,IF(ISNA(VLOOKUP($A64&amp;"_"&amp;AM$4,'2. หน้างบรายจ่าย'!$C:$K,9,0)),0,VLOOKUP($A64&amp;"_"&amp;AM$4,'2. หน้างบรายจ่าย'!$C:$K,9,0)))</f>
        <v>0</v>
      </c>
      <c r="AP64" s="171" t="str">
        <f t="shared" si="25"/>
        <v>No</v>
      </c>
    </row>
    <row r="65" spans="1:42" ht="25.5" hidden="1" customHeight="1">
      <c r="A65" s="210">
        <v>36</v>
      </c>
      <c r="B65" s="244" t="str">
        <f>IF(ISNA(VLOOKUP(A65,'2. หน้างบรายจ่าย'!$A:$K,4,0)),"",TEXT(VLOOKUP(A65,'2. หน้างบรายจ่าย'!$A:$K,4,0),"dd ดดด yy"))</f>
        <v/>
      </c>
      <c r="C65" s="245" t="str">
        <f>IF(ISNA(VLOOKUP(A65,'2. หน้างบรายจ่าย'!$A:$K,8,0)),"",VLOOKUP(A65,'2. หน้างบรายจ่าย'!$A:$K,8,0))</f>
        <v/>
      </c>
      <c r="D65" s="231">
        <f t="shared" si="22"/>
        <v>0</v>
      </c>
      <c r="E65" s="232">
        <f t="shared" si="23"/>
        <v>0</v>
      </c>
      <c r="F65" s="231">
        <f t="shared" si="24"/>
        <v>0</v>
      </c>
      <c r="G65" s="247">
        <f>IF($C65="",0,IF(ISNA(VLOOKUP($A65&amp;"_"&amp;G$4,'2. หน้างบรายจ่าย'!$C:$K,7,0)),0,VLOOKUP($A65&amp;"_"&amp;G$4,'2. หน้างบรายจ่าย'!$C:$K,7,0)))</f>
        <v>0</v>
      </c>
      <c r="H65" s="247">
        <f>IF($C65="",0,IF(ISNA(VLOOKUP($A65&amp;"_"&amp;H$4,'2. หน้างบรายจ่าย'!$C:$K,8,0)),0,VLOOKUP($A65&amp;"_"&amp;H$4,'2. หน้างบรายจ่าย'!$C:$K,8,0)))</f>
        <v>0</v>
      </c>
      <c r="I65" s="247">
        <f>IF($C65="",0,IF(ISNA(VLOOKUP($A65&amp;"_"&amp;I$4,'2. หน้างบรายจ่าย'!$C:$K,9,0)),0,VLOOKUP($A65&amp;"_"&amp;I$4,'2. หน้างบรายจ่าย'!$C:$K,9,0)))</f>
        <v>0</v>
      </c>
      <c r="J65" s="247">
        <f>IF($C65="",0,IF(ISNA(VLOOKUP($A65&amp;"_"&amp;J$4,'2. หน้างบรายจ่าย'!$C:$K,7,0)),0,VLOOKUP($A65&amp;"_"&amp;J$4,'2. หน้างบรายจ่าย'!$C:$K,7,0)))</f>
        <v>0</v>
      </c>
      <c r="K65" s="247">
        <f>IF($C65="",0,IF(ISNA(VLOOKUP($A65&amp;"_"&amp;K$4,'2. หน้างบรายจ่าย'!$C:$K,8,0)),0,VLOOKUP($A65&amp;"_"&amp;K$4,'2. หน้างบรายจ่าย'!$C:$K,8,0)))</f>
        <v>0</v>
      </c>
      <c r="L65" s="247">
        <f>IF($C65="",0,IF(ISNA(VLOOKUP($A65&amp;"_"&amp;L$4,'2. หน้างบรายจ่าย'!$C:$K,9,0)),0,VLOOKUP($A65&amp;"_"&amp;L$4,'2. หน้างบรายจ่าย'!$C:$K,9,0)))</f>
        <v>0</v>
      </c>
      <c r="M65" s="247">
        <f>IF($C65="",0,IF(ISNA(VLOOKUP($A65&amp;"_"&amp;M$4,'2. หน้างบรายจ่าย'!$C:$K,7,0)),0,VLOOKUP($A65&amp;"_"&amp;M$4,'2. หน้างบรายจ่าย'!$C:$K,7,0)))</f>
        <v>0</v>
      </c>
      <c r="N65" s="247">
        <f>IF($C65="",0,IF(ISNA(VLOOKUP($A65&amp;"_"&amp;N$4,'2. หน้างบรายจ่าย'!$C:$K,8,0)),0,VLOOKUP($A65&amp;"_"&amp;N$4,'2. หน้างบรายจ่าย'!$C:$K,8,0)))</f>
        <v>0</v>
      </c>
      <c r="O65" s="248">
        <f>IF($C65="",0,IF(ISNA(VLOOKUP($A65&amp;"_"&amp;O$4,'2. หน้างบรายจ่าย'!$C:$K,9,0)),0,VLOOKUP($A65&amp;"_"&amp;O$4,'2. หน้างบรายจ่าย'!$C:$K,9,0)))</f>
        <v>0</v>
      </c>
      <c r="P65" s="246">
        <f>IF($C65="",0,IF(ISNA(VLOOKUP($A65&amp;"_"&amp;P$4,'2. หน้างบรายจ่าย'!$C:$K,7,0)),0,VLOOKUP($A65&amp;"_"&amp;P$4,'2. หน้างบรายจ่าย'!$C:$K,7,0)))</f>
        <v>0</v>
      </c>
      <c r="Q65" s="249">
        <f>IF($C65="",0,IF(ISNA(VLOOKUP($A65&amp;"_"&amp;Q$4,'2. หน้างบรายจ่าย'!$C:$K,8,0)),0,VLOOKUP($A65&amp;"_"&amp;Q$4,'2. หน้างบรายจ่าย'!$C:$K,8,0)))</f>
        <v>0</v>
      </c>
      <c r="R65" s="247">
        <f>IF($C65="",0,IF(ISNA(VLOOKUP($A65&amp;"_"&amp;R$4,'2. หน้างบรายจ่าย'!$C:$K,9,0)),0,VLOOKUP($A65&amp;"_"&amp;R$4,'2. หน้างบรายจ่าย'!$C:$K,9,0)))</f>
        <v>0</v>
      </c>
      <c r="S65" s="247">
        <f>IF($C65="",0,IF(ISNA(VLOOKUP($A65&amp;"_"&amp;S$4,'2. หน้างบรายจ่าย'!$C:$K,7,0)),0,VLOOKUP($A65&amp;"_"&amp;S$4,'2. หน้างบรายจ่าย'!$C:$K,7,0)))</f>
        <v>0</v>
      </c>
      <c r="T65" s="247">
        <f>IF($C65="",0,IF(ISNA(VLOOKUP($A65&amp;"_"&amp;T$4,'2. หน้างบรายจ่าย'!$C:$K,8,0)),0,VLOOKUP($A65&amp;"_"&amp;T$4,'2. หน้างบรายจ่าย'!$C:$K,8,0)))</f>
        <v>0</v>
      </c>
      <c r="U65" s="247">
        <f>IF($C65="",0,IF(ISNA(VLOOKUP($A65&amp;"_"&amp;U$4,'2. หน้างบรายจ่าย'!$C:$K,9,0)),0,VLOOKUP($A65&amp;"_"&amp;U$4,'2. หน้างบรายจ่าย'!$C:$K,9,0)))</f>
        <v>0</v>
      </c>
      <c r="V65" s="247">
        <f>IF($C65="",0,IF(ISNA(VLOOKUP($A65&amp;"_"&amp;V$4,'2. หน้างบรายจ่าย'!$C:$K,7,0)),0,VLOOKUP($A65&amp;"_"&amp;V$4,'2. หน้างบรายจ่าย'!$C:$K,7,0)))</f>
        <v>0</v>
      </c>
      <c r="W65" s="247">
        <f>IF($C65="",0,IF(ISNA(VLOOKUP($A65&amp;"_"&amp;W$4,'2. หน้างบรายจ่าย'!$C:$K,8,0)),0,VLOOKUP($A65&amp;"_"&amp;W$4,'2. หน้างบรายจ่าย'!$C:$K,8,0)))</f>
        <v>0</v>
      </c>
      <c r="X65" s="247">
        <f>IF($C65="",0,IF(ISNA(VLOOKUP($A65&amp;"_"&amp;X$4,'2. หน้างบรายจ่าย'!$C:$K,9,0)),0,VLOOKUP($A65&amp;"_"&amp;X$4,'2. หน้างบรายจ่าย'!$C:$K,9,0)))</f>
        <v>0</v>
      </c>
      <c r="Y65" s="247">
        <f>IF($C65="",0,IF(ISNA(VLOOKUP($A65&amp;"_"&amp;Y$4,'2. หน้างบรายจ่าย'!$C:$K,7,0)),0,VLOOKUP($A65&amp;"_"&amp;Y$4,'2. หน้างบรายจ่าย'!$C:$K,7,0)))</f>
        <v>0</v>
      </c>
      <c r="Z65" s="247">
        <f>IF($C65="",0,IF(ISNA(VLOOKUP($A65&amp;"_"&amp;Z$4,'2. หน้างบรายจ่าย'!$C:$K,8,0)),0,VLOOKUP($A65&amp;"_"&amp;Z$4,'2. หน้างบรายจ่าย'!$C:$K,8,0)))</f>
        <v>0</v>
      </c>
      <c r="AA65" s="247">
        <f>IF($C65="",0,IF(ISNA(VLOOKUP($A65&amp;"_"&amp;AA$4,'2. หน้างบรายจ่าย'!$C:$K,9,0)),0,VLOOKUP($A65&amp;"_"&amp;AA$4,'2. หน้างบรายจ่าย'!$C:$K,9,0)))</f>
        <v>0</v>
      </c>
      <c r="AB65" s="247">
        <f>IF($C65="",0,IF(ISNA(VLOOKUP($A65&amp;"_"&amp;AB$4,'2. หน้างบรายจ่าย'!$C:$K,7,0)),0,VLOOKUP($A65&amp;"_"&amp;AB$4,'2. หน้างบรายจ่าย'!$C:$K,7,0)))</f>
        <v>0</v>
      </c>
      <c r="AC65" s="251">
        <f>IF($C65="",0,IF(ISNA(VLOOKUP($A65&amp;"_"&amp;AC$4,'2. หน้างบรายจ่าย'!$C:$K,8,0)),0,VLOOKUP($A65&amp;"_"&amp;AC$4,'2. หน้างบรายจ่าย'!$C:$K,8,0)))</f>
        <v>0</v>
      </c>
      <c r="AD65" s="248">
        <f>IF($C65="",0,IF(ISNA(VLOOKUP($A65&amp;"_"&amp;AD$4,'2. หน้างบรายจ่าย'!$C:$K,9,0)),0,VLOOKUP($A65&amp;"_"&amp;AD$4,'2. หน้างบรายจ่าย'!$C:$K,9,0)))</f>
        <v>0</v>
      </c>
      <c r="AE65" s="246">
        <f>IF($C65="",0,IF(ISNA(VLOOKUP($A65&amp;"_"&amp;AE$4,'2. หน้างบรายจ่าย'!$C:$K,7,0)),0,VLOOKUP($A65&amp;"_"&amp;AE$4,'2. หน้างบรายจ่าย'!$C:$K,7,0)))</f>
        <v>0</v>
      </c>
      <c r="AF65" s="250">
        <f>IF($C65="",0,IF(ISNA(VLOOKUP($A65&amp;"_"&amp;AF$4,'2. หน้างบรายจ่าย'!$C:$K,8,0)),0,VLOOKUP($A65&amp;"_"&amp;AF$4,'2. หน้างบรายจ่าย'!$C:$K,8,0)))</f>
        <v>0</v>
      </c>
      <c r="AG65" s="248">
        <f>IF($C65="",0,IF(ISNA(VLOOKUP($A65&amp;"_"&amp;AG$4,'2. หน้างบรายจ่าย'!$C:$K,9,0)),0,VLOOKUP($A65&amp;"_"&amp;AG$4,'2. หน้างบรายจ่าย'!$C:$K,9,0)))</f>
        <v>0</v>
      </c>
      <c r="AH65" s="249">
        <f>IF($C65="",0,IF(ISNA(VLOOKUP($A65&amp;"_"&amp;AH$4,'2. หน้างบรายจ่าย'!$C:$K,7,0)),0,VLOOKUP($A65&amp;"_"&amp;AH$4,'2. หน้างบรายจ่าย'!$C:$K,7,0)))</f>
        <v>0</v>
      </c>
      <c r="AI65" s="250">
        <f>IF($C65="",0,IF(ISNA(VLOOKUP($A65&amp;"_"&amp;AI$4,'2. หน้างบรายจ่าย'!$C:$K,8,0)),0,VLOOKUP($A65&amp;"_"&amp;AI$4,'2. หน้างบรายจ่าย'!$C:$K,8,0)))</f>
        <v>0</v>
      </c>
      <c r="AJ65" s="248">
        <f>IF($C65="",0,IF(ISNA(VLOOKUP($A65&amp;"_"&amp;AJ$4,'2. หน้างบรายจ่าย'!$C:$K,9,0)),0,VLOOKUP($A65&amp;"_"&amp;AJ$4,'2. หน้างบรายจ่าย'!$C:$K,9,0)))</f>
        <v>0</v>
      </c>
      <c r="AK65" s="249">
        <f>IF($C65="",0,IF(ISNA(VLOOKUP($A65&amp;"_"&amp;AK$4,'2. หน้างบรายจ่าย'!$C:$K,7,0)),0,VLOOKUP($A65&amp;"_"&amp;AK$4,'2. หน้างบรายจ่าย'!$C:$K,7,0)))</f>
        <v>0</v>
      </c>
      <c r="AL65" s="250">
        <f>IF($C65="",0,IF(ISNA(VLOOKUP($A65&amp;"_"&amp;AL$4,'2. หน้างบรายจ่าย'!$C:$K,8,0)),0,VLOOKUP($A65&amp;"_"&amp;AL$4,'2. หน้างบรายจ่าย'!$C:$K,8,0)))</f>
        <v>0</v>
      </c>
      <c r="AM65" s="248">
        <f>IF($C65="",0,IF(ISNA(VLOOKUP($A65&amp;"_"&amp;AM$4,'2. หน้างบรายจ่าย'!$C:$K,9,0)),0,VLOOKUP($A65&amp;"_"&amp;AM$4,'2. หน้างบรายจ่าย'!$C:$K,9,0)))</f>
        <v>0</v>
      </c>
      <c r="AP65" s="171" t="str">
        <f t="shared" si="25"/>
        <v>No</v>
      </c>
    </row>
    <row r="66" spans="1:42" ht="25.5" hidden="1" customHeight="1">
      <c r="A66" s="210">
        <v>37</v>
      </c>
      <c r="B66" s="244" t="str">
        <f>IF(ISNA(VLOOKUP(A66,'2. หน้างบรายจ่าย'!$A:$K,4,0)),"",TEXT(VLOOKUP(A66,'2. หน้างบรายจ่าย'!$A:$K,4,0),"dd ดดด yy"))</f>
        <v/>
      </c>
      <c r="C66" s="245" t="str">
        <f>IF(ISNA(VLOOKUP(A66,'2. หน้างบรายจ่าย'!$A:$K,8,0)),"",VLOOKUP(A66,'2. หน้างบรายจ่าย'!$A:$K,8,0))</f>
        <v/>
      </c>
      <c r="D66" s="231">
        <f t="shared" si="22"/>
        <v>0</v>
      </c>
      <c r="E66" s="232">
        <f t="shared" si="23"/>
        <v>0</v>
      </c>
      <c r="F66" s="231">
        <f t="shared" si="24"/>
        <v>0</v>
      </c>
      <c r="G66" s="247">
        <f>IF($C66="",0,IF(ISNA(VLOOKUP($A66&amp;"_"&amp;G$4,'2. หน้างบรายจ่าย'!$C:$K,7,0)),0,VLOOKUP($A66&amp;"_"&amp;G$4,'2. หน้างบรายจ่าย'!$C:$K,7,0)))</f>
        <v>0</v>
      </c>
      <c r="H66" s="247">
        <f>IF($C66="",0,IF(ISNA(VLOOKUP($A66&amp;"_"&amp;H$4,'2. หน้างบรายจ่าย'!$C:$K,8,0)),0,VLOOKUP($A66&amp;"_"&amp;H$4,'2. หน้างบรายจ่าย'!$C:$K,8,0)))</f>
        <v>0</v>
      </c>
      <c r="I66" s="247">
        <f>IF($C66="",0,IF(ISNA(VLOOKUP($A66&amp;"_"&amp;I$4,'2. หน้างบรายจ่าย'!$C:$K,9,0)),0,VLOOKUP($A66&amp;"_"&amp;I$4,'2. หน้างบรายจ่าย'!$C:$K,9,0)))</f>
        <v>0</v>
      </c>
      <c r="J66" s="247">
        <f>IF($C66="",0,IF(ISNA(VLOOKUP($A66&amp;"_"&amp;J$4,'2. หน้างบรายจ่าย'!$C:$K,7,0)),0,VLOOKUP($A66&amp;"_"&amp;J$4,'2. หน้างบรายจ่าย'!$C:$K,7,0)))</f>
        <v>0</v>
      </c>
      <c r="K66" s="247">
        <f>IF($C66="",0,IF(ISNA(VLOOKUP($A66&amp;"_"&amp;K$4,'2. หน้างบรายจ่าย'!$C:$K,8,0)),0,VLOOKUP($A66&amp;"_"&amp;K$4,'2. หน้างบรายจ่าย'!$C:$K,8,0)))</f>
        <v>0</v>
      </c>
      <c r="L66" s="247">
        <f>IF($C66="",0,IF(ISNA(VLOOKUP($A66&amp;"_"&amp;L$4,'2. หน้างบรายจ่าย'!$C:$K,9,0)),0,VLOOKUP($A66&amp;"_"&amp;L$4,'2. หน้างบรายจ่าย'!$C:$K,9,0)))</f>
        <v>0</v>
      </c>
      <c r="M66" s="247">
        <f>IF($C66="",0,IF(ISNA(VLOOKUP($A66&amp;"_"&amp;M$4,'2. หน้างบรายจ่าย'!$C:$K,7,0)),0,VLOOKUP($A66&amp;"_"&amp;M$4,'2. หน้างบรายจ่าย'!$C:$K,7,0)))</f>
        <v>0</v>
      </c>
      <c r="N66" s="247">
        <f>IF($C66="",0,IF(ISNA(VLOOKUP($A66&amp;"_"&amp;N$4,'2. หน้างบรายจ่าย'!$C:$K,8,0)),0,VLOOKUP($A66&amp;"_"&amp;N$4,'2. หน้างบรายจ่าย'!$C:$K,8,0)))</f>
        <v>0</v>
      </c>
      <c r="O66" s="248">
        <f>IF($C66="",0,IF(ISNA(VLOOKUP($A66&amp;"_"&amp;O$4,'2. หน้างบรายจ่าย'!$C:$K,9,0)),0,VLOOKUP($A66&amp;"_"&amp;O$4,'2. หน้างบรายจ่าย'!$C:$K,9,0)))</f>
        <v>0</v>
      </c>
      <c r="P66" s="246">
        <f>IF($C66="",0,IF(ISNA(VLOOKUP($A66&amp;"_"&amp;P$4,'2. หน้างบรายจ่าย'!$C:$K,7,0)),0,VLOOKUP($A66&amp;"_"&amp;P$4,'2. หน้างบรายจ่าย'!$C:$K,7,0)))</f>
        <v>0</v>
      </c>
      <c r="Q66" s="249">
        <f>IF($C66="",0,IF(ISNA(VLOOKUP($A66&amp;"_"&amp;Q$4,'2. หน้างบรายจ่าย'!$C:$K,8,0)),0,VLOOKUP($A66&amp;"_"&amp;Q$4,'2. หน้างบรายจ่าย'!$C:$K,8,0)))</f>
        <v>0</v>
      </c>
      <c r="R66" s="247">
        <f>IF($C66="",0,IF(ISNA(VLOOKUP($A66&amp;"_"&amp;R$4,'2. หน้างบรายจ่าย'!$C:$K,9,0)),0,VLOOKUP($A66&amp;"_"&amp;R$4,'2. หน้างบรายจ่าย'!$C:$K,9,0)))</f>
        <v>0</v>
      </c>
      <c r="S66" s="247">
        <f>IF($C66="",0,IF(ISNA(VLOOKUP($A66&amp;"_"&amp;S$4,'2. หน้างบรายจ่าย'!$C:$K,7,0)),0,VLOOKUP($A66&amp;"_"&amp;S$4,'2. หน้างบรายจ่าย'!$C:$K,7,0)))</f>
        <v>0</v>
      </c>
      <c r="T66" s="247">
        <f>IF($C66="",0,IF(ISNA(VLOOKUP($A66&amp;"_"&amp;T$4,'2. หน้างบรายจ่าย'!$C:$K,8,0)),0,VLOOKUP($A66&amp;"_"&amp;T$4,'2. หน้างบรายจ่าย'!$C:$K,8,0)))</f>
        <v>0</v>
      </c>
      <c r="U66" s="247">
        <f>IF($C66="",0,IF(ISNA(VLOOKUP($A66&amp;"_"&amp;U$4,'2. หน้างบรายจ่าย'!$C:$K,9,0)),0,VLOOKUP($A66&amp;"_"&amp;U$4,'2. หน้างบรายจ่าย'!$C:$K,9,0)))</f>
        <v>0</v>
      </c>
      <c r="V66" s="247">
        <f>IF($C66="",0,IF(ISNA(VLOOKUP($A66&amp;"_"&amp;V$4,'2. หน้างบรายจ่าย'!$C:$K,7,0)),0,VLOOKUP($A66&amp;"_"&amp;V$4,'2. หน้างบรายจ่าย'!$C:$K,7,0)))</f>
        <v>0</v>
      </c>
      <c r="W66" s="247">
        <f>IF($C66="",0,IF(ISNA(VLOOKUP($A66&amp;"_"&amp;W$4,'2. หน้างบรายจ่าย'!$C:$K,8,0)),0,VLOOKUP($A66&amp;"_"&amp;W$4,'2. หน้างบรายจ่าย'!$C:$K,8,0)))</f>
        <v>0</v>
      </c>
      <c r="X66" s="247">
        <f>IF($C66="",0,IF(ISNA(VLOOKUP($A66&amp;"_"&amp;X$4,'2. หน้างบรายจ่าย'!$C:$K,9,0)),0,VLOOKUP($A66&amp;"_"&amp;X$4,'2. หน้างบรายจ่าย'!$C:$K,9,0)))</f>
        <v>0</v>
      </c>
      <c r="Y66" s="247">
        <f>IF($C66="",0,IF(ISNA(VLOOKUP($A66&amp;"_"&amp;Y$4,'2. หน้างบรายจ่าย'!$C:$K,7,0)),0,VLOOKUP($A66&amp;"_"&amp;Y$4,'2. หน้างบรายจ่าย'!$C:$K,7,0)))</f>
        <v>0</v>
      </c>
      <c r="Z66" s="247">
        <f>IF($C66="",0,IF(ISNA(VLOOKUP($A66&amp;"_"&amp;Z$4,'2. หน้างบรายจ่าย'!$C:$K,8,0)),0,VLOOKUP($A66&amp;"_"&amp;Z$4,'2. หน้างบรายจ่าย'!$C:$K,8,0)))</f>
        <v>0</v>
      </c>
      <c r="AA66" s="247">
        <f>IF($C66="",0,IF(ISNA(VLOOKUP($A66&amp;"_"&amp;AA$4,'2. หน้างบรายจ่าย'!$C:$K,9,0)),0,VLOOKUP($A66&amp;"_"&amp;AA$4,'2. หน้างบรายจ่าย'!$C:$K,9,0)))</f>
        <v>0</v>
      </c>
      <c r="AB66" s="247">
        <f>IF($C66="",0,IF(ISNA(VLOOKUP($A66&amp;"_"&amp;AB$4,'2. หน้างบรายจ่าย'!$C:$K,7,0)),0,VLOOKUP($A66&amp;"_"&amp;AB$4,'2. หน้างบรายจ่าย'!$C:$K,7,0)))</f>
        <v>0</v>
      </c>
      <c r="AC66" s="251">
        <f>IF($C66="",0,IF(ISNA(VLOOKUP($A66&amp;"_"&amp;AC$4,'2. หน้างบรายจ่าย'!$C:$K,8,0)),0,VLOOKUP($A66&amp;"_"&amp;AC$4,'2. หน้างบรายจ่าย'!$C:$K,8,0)))</f>
        <v>0</v>
      </c>
      <c r="AD66" s="248">
        <f>IF($C66="",0,IF(ISNA(VLOOKUP($A66&amp;"_"&amp;AD$4,'2. หน้างบรายจ่าย'!$C:$K,9,0)),0,VLOOKUP($A66&amp;"_"&amp;AD$4,'2. หน้างบรายจ่าย'!$C:$K,9,0)))</f>
        <v>0</v>
      </c>
      <c r="AE66" s="246">
        <f>IF($C66="",0,IF(ISNA(VLOOKUP($A66&amp;"_"&amp;AE$4,'2. หน้างบรายจ่าย'!$C:$K,7,0)),0,VLOOKUP($A66&amp;"_"&amp;AE$4,'2. หน้างบรายจ่าย'!$C:$K,7,0)))</f>
        <v>0</v>
      </c>
      <c r="AF66" s="250">
        <f>IF($C66="",0,IF(ISNA(VLOOKUP($A66&amp;"_"&amp;AF$4,'2. หน้างบรายจ่าย'!$C:$K,8,0)),0,VLOOKUP($A66&amp;"_"&amp;AF$4,'2. หน้างบรายจ่าย'!$C:$K,8,0)))</f>
        <v>0</v>
      </c>
      <c r="AG66" s="248">
        <f>IF($C66="",0,IF(ISNA(VLOOKUP($A66&amp;"_"&amp;AG$4,'2. หน้างบรายจ่าย'!$C:$K,9,0)),0,VLOOKUP($A66&amp;"_"&amp;AG$4,'2. หน้างบรายจ่าย'!$C:$K,9,0)))</f>
        <v>0</v>
      </c>
      <c r="AH66" s="249">
        <f>IF($C66="",0,IF(ISNA(VLOOKUP($A66&amp;"_"&amp;AH$4,'2. หน้างบรายจ่าย'!$C:$K,7,0)),0,VLOOKUP($A66&amp;"_"&amp;AH$4,'2. หน้างบรายจ่าย'!$C:$K,7,0)))</f>
        <v>0</v>
      </c>
      <c r="AI66" s="250">
        <f>IF($C66="",0,IF(ISNA(VLOOKUP($A66&amp;"_"&amp;AI$4,'2. หน้างบรายจ่าย'!$C:$K,8,0)),0,VLOOKUP($A66&amp;"_"&amp;AI$4,'2. หน้างบรายจ่าย'!$C:$K,8,0)))</f>
        <v>0</v>
      </c>
      <c r="AJ66" s="248">
        <f>IF($C66="",0,IF(ISNA(VLOOKUP($A66&amp;"_"&amp;AJ$4,'2. หน้างบรายจ่าย'!$C:$K,9,0)),0,VLOOKUP($A66&amp;"_"&amp;AJ$4,'2. หน้างบรายจ่าย'!$C:$K,9,0)))</f>
        <v>0</v>
      </c>
      <c r="AK66" s="249">
        <f>IF($C66="",0,IF(ISNA(VLOOKUP($A66&amp;"_"&amp;AK$4,'2. หน้างบรายจ่าย'!$C:$K,7,0)),0,VLOOKUP($A66&amp;"_"&amp;AK$4,'2. หน้างบรายจ่าย'!$C:$K,7,0)))</f>
        <v>0</v>
      </c>
      <c r="AL66" s="250">
        <f>IF($C66="",0,IF(ISNA(VLOOKUP($A66&amp;"_"&amp;AL$4,'2. หน้างบรายจ่าย'!$C:$K,8,0)),0,VLOOKUP($A66&amp;"_"&amp;AL$4,'2. หน้างบรายจ่าย'!$C:$K,8,0)))</f>
        <v>0</v>
      </c>
      <c r="AM66" s="248">
        <f>IF($C66="",0,IF(ISNA(VLOOKUP($A66&amp;"_"&amp;AM$4,'2. หน้างบรายจ่าย'!$C:$K,9,0)),0,VLOOKUP($A66&amp;"_"&amp;AM$4,'2. หน้างบรายจ่าย'!$C:$K,9,0)))</f>
        <v>0</v>
      </c>
      <c r="AP66" s="171" t="str">
        <f t="shared" si="25"/>
        <v>No</v>
      </c>
    </row>
    <row r="67" spans="1:42" ht="25.5" hidden="1" customHeight="1">
      <c r="A67" s="210">
        <v>38</v>
      </c>
      <c r="B67" s="244" t="str">
        <f>IF(ISNA(VLOOKUP(A67,'2. หน้างบรายจ่าย'!$A:$K,4,0)),"",TEXT(VLOOKUP(A67,'2. หน้างบรายจ่าย'!$A:$K,4,0),"dd ดดด yy"))</f>
        <v/>
      </c>
      <c r="C67" s="245" t="str">
        <f>IF(ISNA(VLOOKUP(A67,'2. หน้างบรายจ่าย'!$A:$K,8,0)),"",VLOOKUP(A67,'2. หน้างบรายจ่าย'!$A:$K,8,0))</f>
        <v/>
      </c>
      <c r="D67" s="231">
        <f t="shared" si="22"/>
        <v>0</v>
      </c>
      <c r="E67" s="232">
        <f t="shared" si="23"/>
        <v>0</v>
      </c>
      <c r="F67" s="231">
        <f t="shared" si="24"/>
        <v>0</v>
      </c>
      <c r="G67" s="247">
        <f>IF($C67="",0,IF(ISNA(VLOOKUP($A67&amp;"_"&amp;G$4,'2. หน้างบรายจ่าย'!$C:$K,7,0)),0,VLOOKUP($A67&amp;"_"&amp;G$4,'2. หน้างบรายจ่าย'!$C:$K,7,0)))</f>
        <v>0</v>
      </c>
      <c r="H67" s="247">
        <f>IF($C67="",0,IF(ISNA(VLOOKUP($A67&amp;"_"&amp;H$4,'2. หน้างบรายจ่าย'!$C:$K,8,0)),0,VLOOKUP($A67&amp;"_"&amp;H$4,'2. หน้างบรายจ่าย'!$C:$K,8,0)))</f>
        <v>0</v>
      </c>
      <c r="I67" s="247">
        <f>IF($C67="",0,IF(ISNA(VLOOKUP($A67&amp;"_"&amp;I$4,'2. หน้างบรายจ่าย'!$C:$K,9,0)),0,VLOOKUP($A67&amp;"_"&amp;I$4,'2. หน้างบรายจ่าย'!$C:$K,9,0)))</f>
        <v>0</v>
      </c>
      <c r="J67" s="247">
        <f>IF($C67="",0,IF(ISNA(VLOOKUP($A67&amp;"_"&amp;J$4,'2. หน้างบรายจ่าย'!$C:$K,7,0)),0,VLOOKUP($A67&amp;"_"&amp;J$4,'2. หน้างบรายจ่าย'!$C:$K,7,0)))</f>
        <v>0</v>
      </c>
      <c r="K67" s="247">
        <f>IF($C67="",0,IF(ISNA(VLOOKUP($A67&amp;"_"&amp;K$4,'2. หน้างบรายจ่าย'!$C:$K,8,0)),0,VLOOKUP($A67&amp;"_"&amp;K$4,'2. หน้างบรายจ่าย'!$C:$K,8,0)))</f>
        <v>0</v>
      </c>
      <c r="L67" s="247">
        <f>IF($C67="",0,IF(ISNA(VLOOKUP($A67&amp;"_"&amp;L$4,'2. หน้างบรายจ่าย'!$C:$K,9,0)),0,VLOOKUP($A67&amp;"_"&amp;L$4,'2. หน้างบรายจ่าย'!$C:$K,9,0)))</f>
        <v>0</v>
      </c>
      <c r="M67" s="247">
        <f>IF($C67="",0,IF(ISNA(VLOOKUP($A67&amp;"_"&amp;M$4,'2. หน้างบรายจ่าย'!$C:$K,7,0)),0,VLOOKUP($A67&amp;"_"&amp;M$4,'2. หน้างบรายจ่าย'!$C:$K,7,0)))</f>
        <v>0</v>
      </c>
      <c r="N67" s="247">
        <f>IF($C67="",0,IF(ISNA(VLOOKUP($A67&amp;"_"&amp;N$4,'2. หน้างบรายจ่าย'!$C:$K,8,0)),0,VLOOKUP($A67&amp;"_"&amp;N$4,'2. หน้างบรายจ่าย'!$C:$K,8,0)))</f>
        <v>0</v>
      </c>
      <c r="O67" s="248">
        <f>IF($C67="",0,IF(ISNA(VLOOKUP($A67&amp;"_"&amp;O$4,'2. หน้างบรายจ่าย'!$C:$K,9,0)),0,VLOOKUP($A67&amp;"_"&amp;O$4,'2. หน้างบรายจ่าย'!$C:$K,9,0)))</f>
        <v>0</v>
      </c>
      <c r="P67" s="246">
        <f>IF($C67="",0,IF(ISNA(VLOOKUP($A67&amp;"_"&amp;P$4,'2. หน้างบรายจ่าย'!$C:$K,7,0)),0,VLOOKUP($A67&amp;"_"&amp;P$4,'2. หน้างบรายจ่าย'!$C:$K,7,0)))</f>
        <v>0</v>
      </c>
      <c r="Q67" s="249">
        <f>IF($C67="",0,IF(ISNA(VLOOKUP($A67&amp;"_"&amp;Q$4,'2. หน้างบรายจ่าย'!$C:$K,8,0)),0,VLOOKUP($A67&amp;"_"&amp;Q$4,'2. หน้างบรายจ่าย'!$C:$K,8,0)))</f>
        <v>0</v>
      </c>
      <c r="R67" s="247">
        <f>IF($C67="",0,IF(ISNA(VLOOKUP($A67&amp;"_"&amp;R$4,'2. หน้างบรายจ่าย'!$C:$K,9,0)),0,VLOOKUP($A67&amp;"_"&amp;R$4,'2. หน้างบรายจ่าย'!$C:$K,9,0)))</f>
        <v>0</v>
      </c>
      <c r="S67" s="247">
        <f>IF($C67="",0,IF(ISNA(VLOOKUP($A67&amp;"_"&amp;S$4,'2. หน้างบรายจ่าย'!$C:$K,7,0)),0,VLOOKUP($A67&amp;"_"&amp;S$4,'2. หน้างบรายจ่าย'!$C:$K,7,0)))</f>
        <v>0</v>
      </c>
      <c r="T67" s="247">
        <f>IF($C67="",0,IF(ISNA(VLOOKUP($A67&amp;"_"&amp;T$4,'2. หน้างบรายจ่าย'!$C:$K,8,0)),0,VLOOKUP($A67&amp;"_"&amp;T$4,'2. หน้างบรายจ่าย'!$C:$K,8,0)))</f>
        <v>0</v>
      </c>
      <c r="U67" s="247">
        <f>IF($C67="",0,IF(ISNA(VLOOKUP($A67&amp;"_"&amp;U$4,'2. หน้างบรายจ่าย'!$C:$K,9,0)),0,VLOOKUP($A67&amp;"_"&amp;U$4,'2. หน้างบรายจ่าย'!$C:$K,9,0)))</f>
        <v>0</v>
      </c>
      <c r="V67" s="247">
        <f>IF($C67="",0,IF(ISNA(VLOOKUP($A67&amp;"_"&amp;V$4,'2. หน้างบรายจ่าย'!$C:$K,7,0)),0,VLOOKUP($A67&amp;"_"&amp;V$4,'2. หน้างบรายจ่าย'!$C:$K,7,0)))</f>
        <v>0</v>
      </c>
      <c r="W67" s="247">
        <f>IF($C67="",0,IF(ISNA(VLOOKUP($A67&amp;"_"&amp;W$4,'2. หน้างบรายจ่าย'!$C:$K,8,0)),0,VLOOKUP($A67&amp;"_"&amp;W$4,'2. หน้างบรายจ่าย'!$C:$K,8,0)))</f>
        <v>0</v>
      </c>
      <c r="X67" s="247">
        <f>IF($C67="",0,IF(ISNA(VLOOKUP($A67&amp;"_"&amp;X$4,'2. หน้างบรายจ่าย'!$C:$K,9,0)),0,VLOOKUP($A67&amp;"_"&amp;X$4,'2. หน้างบรายจ่าย'!$C:$K,9,0)))</f>
        <v>0</v>
      </c>
      <c r="Y67" s="247">
        <f>IF($C67="",0,IF(ISNA(VLOOKUP($A67&amp;"_"&amp;Y$4,'2. หน้างบรายจ่าย'!$C:$K,7,0)),0,VLOOKUP($A67&amp;"_"&amp;Y$4,'2. หน้างบรายจ่าย'!$C:$K,7,0)))</f>
        <v>0</v>
      </c>
      <c r="Z67" s="247">
        <f>IF($C67="",0,IF(ISNA(VLOOKUP($A67&amp;"_"&amp;Z$4,'2. หน้างบรายจ่าย'!$C:$K,8,0)),0,VLOOKUP($A67&amp;"_"&amp;Z$4,'2. หน้างบรายจ่าย'!$C:$K,8,0)))</f>
        <v>0</v>
      </c>
      <c r="AA67" s="247">
        <f>IF($C67="",0,IF(ISNA(VLOOKUP($A67&amp;"_"&amp;AA$4,'2. หน้างบรายจ่าย'!$C:$K,9,0)),0,VLOOKUP($A67&amp;"_"&amp;AA$4,'2. หน้างบรายจ่าย'!$C:$K,9,0)))</f>
        <v>0</v>
      </c>
      <c r="AB67" s="247">
        <f>IF($C67="",0,IF(ISNA(VLOOKUP($A67&amp;"_"&amp;AB$4,'2. หน้างบรายจ่าย'!$C:$K,7,0)),0,VLOOKUP($A67&amp;"_"&amp;AB$4,'2. หน้างบรายจ่าย'!$C:$K,7,0)))</f>
        <v>0</v>
      </c>
      <c r="AC67" s="251">
        <f>IF($C67="",0,IF(ISNA(VLOOKUP($A67&amp;"_"&amp;AC$4,'2. หน้างบรายจ่าย'!$C:$K,8,0)),0,VLOOKUP($A67&amp;"_"&amp;AC$4,'2. หน้างบรายจ่าย'!$C:$K,8,0)))</f>
        <v>0</v>
      </c>
      <c r="AD67" s="248">
        <f>IF($C67="",0,IF(ISNA(VLOOKUP($A67&amp;"_"&amp;AD$4,'2. หน้างบรายจ่าย'!$C:$K,9,0)),0,VLOOKUP($A67&amp;"_"&amp;AD$4,'2. หน้างบรายจ่าย'!$C:$K,9,0)))</f>
        <v>0</v>
      </c>
      <c r="AE67" s="246">
        <f>IF($C67="",0,IF(ISNA(VLOOKUP($A67&amp;"_"&amp;AE$4,'2. หน้างบรายจ่าย'!$C:$K,7,0)),0,VLOOKUP($A67&amp;"_"&amp;AE$4,'2. หน้างบรายจ่าย'!$C:$K,7,0)))</f>
        <v>0</v>
      </c>
      <c r="AF67" s="250">
        <f>IF($C67="",0,IF(ISNA(VLOOKUP($A67&amp;"_"&amp;AF$4,'2. หน้างบรายจ่าย'!$C:$K,8,0)),0,VLOOKUP($A67&amp;"_"&amp;AF$4,'2. หน้างบรายจ่าย'!$C:$K,8,0)))</f>
        <v>0</v>
      </c>
      <c r="AG67" s="248">
        <f>IF($C67="",0,IF(ISNA(VLOOKUP($A67&amp;"_"&amp;AG$4,'2. หน้างบรายจ่าย'!$C:$K,9,0)),0,VLOOKUP($A67&amp;"_"&amp;AG$4,'2. หน้างบรายจ่าย'!$C:$K,9,0)))</f>
        <v>0</v>
      </c>
      <c r="AH67" s="249">
        <f>IF($C67="",0,IF(ISNA(VLOOKUP($A67&amp;"_"&amp;AH$4,'2. หน้างบรายจ่าย'!$C:$K,7,0)),0,VLOOKUP($A67&amp;"_"&amp;AH$4,'2. หน้างบรายจ่าย'!$C:$K,7,0)))</f>
        <v>0</v>
      </c>
      <c r="AI67" s="250">
        <f>IF($C67="",0,IF(ISNA(VLOOKUP($A67&amp;"_"&amp;AI$4,'2. หน้างบรายจ่าย'!$C:$K,8,0)),0,VLOOKUP($A67&amp;"_"&amp;AI$4,'2. หน้างบรายจ่าย'!$C:$K,8,0)))</f>
        <v>0</v>
      </c>
      <c r="AJ67" s="248">
        <f>IF($C67="",0,IF(ISNA(VLOOKUP($A67&amp;"_"&amp;AJ$4,'2. หน้างบรายจ่าย'!$C:$K,9,0)),0,VLOOKUP($A67&amp;"_"&amp;AJ$4,'2. หน้างบรายจ่าย'!$C:$K,9,0)))</f>
        <v>0</v>
      </c>
      <c r="AK67" s="249">
        <f>IF($C67="",0,IF(ISNA(VLOOKUP($A67&amp;"_"&amp;AK$4,'2. หน้างบรายจ่าย'!$C:$K,7,0)),0,VLOOKUP($A67&amp;"_"&amp;AK$4,'2. หน้างบรายจ่าย'!$C:$K,7,0)))</f>
        <v>0</v>
      </c>
      <c r="AL67" s="250">
        <f>IF($C67="",0,IF(ISNA(VLOOKUP($A67&amp;"_"&amp;AL$4,'2. หน้างบรายจ่าย'!$C:$K,8,0)),0,VLOOKUP($A67&amp;"_"&amp;AL$4,'2. หน้างบรายจ่าย'!$C:$K,8,0)))</f>
        <v>0</v>
      </c>
      <c r="AM67" s="248">
        <f>IF($C67="",0,IF(ISNA(VLOOKUP($A67&amp;"_"&amp;AM$4,'2. หน้างบรายจ่าย'!$C:$K,9,0)),0,VLOOKUP($A67&amp;"_"&amp;AM$4,'2. หน้างบรายจ่าย'!$C:$K,9,0)))</f>
        <v>0</v>
      </c>
      <c r="AP67" s="171" t="str">
        <f t="shared" si="25"/>
        <v>No</v>
      </c>
    </row>
    <row r="68" spans="1:42" ht="25.5" hidden="1" customHeight="1">
      <c r="A68" s="210">
        <v>39</v>
      </c>
      <c r="B68" s="244" t="str">
        <f>IF(ISNA(VLOOKUP(A68,'2. หน้างบรายจ่าย'!$A:$K,4,0)),"",TEXT(VLOOKUP(A68,'2. หน้างบรายจ่าย'!$A:$K,4,0),"dd ดดด yy"))</f>
        <v/>
      </c>
      <c r="C68" s="245" t="str">
        <f>IF(ISNA(VLOOKUP(A68,'2. หน้างบรายจ่าย'!$A:$K,8,0)),"",VLOOKUP(A68,'2. หน้างบรายจ่าย'!$A:$K,8,0))</f>
        <v/>
      </c>
      <c r="D68" s="231">
        <f t="shared" si="22"/>
        <v>0</v>
      </c>
      <c r="E68" s="232">
        <f t="shared" si="23"/>
        <v>0</v>
      </c>
      <c r="F68" s="231">
        <f t="shared" si="24"/>
        <v>0</v>
      </c>
      <c r="G68" s="247">
        <f>IF($C68="",0,IF(ISNA(VLOOKUP($A68&amp;"_"&amp;G$4,'2. หน้างบรายจ่าย'!$C:$K,7,0)),0,VLOOKUP($A68&amp;"_"&amp;G$4,'2. หน้างบรายจ่าย'!$C:$K,7,0)))</f>
        <v>0</v>
      </c>
      <c r="H68" s="247">
        <f>IF($C68="",0,IF(ISNA(VLOOKUP($A68&amp;"_"&amp;H$4,'2. หน้างบรายจ่าย'!$C:$K,8,0)),0,VLOOKUP($A68&amp;"_"&amp;H$4,'2. หน้างบรายจ่าย'!$C:$K,8,0)))</f>
        <v>0</v>
      </c>
      <c r="I68" s="247">
        <f>IF($C68="",0,IF(ISNA(VLOOKUP($A68&amp;"_"&amp;I$4,'2. หน้างบรายจ่าย'!$C:$K,9,0)),0,VLOOKUP($A68&amp;"_"&amp;I$4,'2. หน้างบรายจ่าย'!$C:$K,9,0)))</f>
        <v>0</v>
      </c>
      <c r="J68" s="247">
        <f>IF($C68="",0,IF(ISNA(VLOOKUP($A68&amp;"_"&amp;J$4,'2. หน้างบรายจ่าย'!$C:$K,7,0)),0,VLOOKUP($A68&amp;"_"&amp;J$4,'2. หน้างบรายจ่าย'!$C:$K,7,0)))</f>
        <v>0</v>
      </c>
      <c r="K68" s="247">
        <f>IF($C68="",0,IF(ISNA(VLOOKUP($A68&amp;"_"&amp;K$4,'2. หน้างบรายจ่าย'!$C:$K,8,0)),0,VLOOKUP($A68&amp;"_"&amp;K$4,'2. หน้างบรายจ่าย'!$C:$K,8,0)))</f>
        <v>0</v>
      </c>
      <c r="L68" s="247">
        <f>IF($C68="",0,IF(ISNA(VLOOKUP($A68&amp;"_"&amp;L$4,'2. หน้างบรายจ่าย'!$C:$K,9,0)),0,VLOOKUP($A68&amp;"_"&amp;L$4,'2. หน้างบรายจ่าย'!$C:$K,9,0)))</f>
        <v>0</v>
      </c>
      <c r="M68" s="247">
        <f>IF($C68="",0,IF(ISNA(VLOOKUP($A68&amp;"_"&amp;M$4,'2. หน้างบรายจ่าย'!$C:$K,7,0)),0,VLOOKUP($A68&amp;"_"&amp;M$4,'2. หน้างบรายจ่าย'!$C:$K,7,0)))</f>
        <v>0</v>
      </c>
      <c r="N68" s="247">
        <f>IF($C68="",0,IF(ISNA(VLOOKUP($A68&amp;"_"&amp;N$4,'2. หน้างบรายจ่าย'!$C:$K,8,0)),0,VLOOKUP($A68&amp;"_"&amp;N$4,'2. หน้างบรายจ่าย'!$C:$K,8,0)))</f>
        <v>0</v>
      </c>
      <c r="O68" s="248">
        <f>IF($C68="",0,IF(ISNA(VLOOKUP($A68&amp;"_"&amp;O$4,'2. หน้างบรายจ่าย'!$C:$K,9,0)),0,VLOOKUP($A68&amp;"_"&amp;O$4,'2. หน้างบรายจ่าย'!$C:$K,9,0)))</f>
        <v>0</v>
      </c>
      <c r="P68" s="246">
        <f>IF($C68="",0,IF(ISNA(VLOOKUP($A68&amp;"_"&amp;P$4,'2. หน้างบรายจ่าย'!$C:$K,7,0)),0,VLOOKUP($A68&amp;"_"&amp;P$4,'2. หน้างบรายจ่าย'!$C:$K,7,0)))</f>
        <v>0</v>
      </c>
      <c r="Q68" s="249">
        <f>IF($C68="",0,IF(ISNA(VLOOKUP($A68&amp;"_"&amp;Q$4,'2. หน้างบรายจ่าย'!$C:$K,8,0)),0,VLOOKUP($A68&amp;"_"&amp;Q$4,'2. หน้างบรายจ่าย'!$C:$K,8,0)))</f>
        <v>0</v>
      </c>
      <c r="R68" s="247">
        <f>IF($C68="",0,IF(ISNA(VLOOKUP($A68&amp;"_"&amp;R$4,'2. หน้างบรายจ่าย'!$C:$K,9,0)),0,VLOOKUP($A68&amp;"_"&amp;R$4,'2. หน้างบรายจ่าย'!$C:$K,9,0)))</f>
        <v>0</v>
      </c>
      <c r="S68" s="247">
        <f>IF($C68="",0,IF(ISNA(VLOOKUP($A68&amp;"_"&amp;S$4,'2. หน้างบรายจ่าย'!$C:$K,7,0)),0,VLOOKUP($A68&amp;"_"&amp;S$4,'2. หน้างบรายจ่าย'!$C:$K,7,0)))</f>
        <v>0</v>
      </c>
      <c r="T68" s="247">
        <f>IF($C68="",0,IF(ISNA(VLOOKUP($A68&amp;"_"&amp;T$4,'2. หน้างบรายจ่าย'!$C:$K,8,0)),0,VLOOKUP($A68&amp;"_"&amp;T$4,'2. หน้างบรายจ่าย'!$C:$K,8,0)))</f>
        <v>0</v>
      </c>
      <c r="U68" s="247">
        <f>IF($C68="",0,IF(ISNA(VLOOKUP($A68&amp;"_"&amp;U$4,'2. หน้างบรายจ่าย'!$C:$K,9,0)),0,VLOOKUP($A68&amp;"_"&amp;U$4,'2. หน้างบรายจ่าย'!$C:$K,9,0)))</f>
        <v>0</v>
      </c>
      <c r="V68" s="247">
        <f>IF($C68="",0,IF(ISNA(VLOOKUP($A68&amp;"_"&amp;V$4,'2. หน้างบรายจ่าย'!$C:$K,7,0)),0,VLOOKUP($A68&amp;"_"&amp;V$4,'2. หน้างบรายจ่าย'!$C:$K,7,0)))</f>
        <v>0</v>
      </c>
      <c r="W68" s="247">
        <f>IF($C68="",0,IF(ISNA(VLOOKUP($A68&amp;"_"&amp;W$4,'2. หน้างบรายจ่าย'!$C:$K,8,0)),0,VLOOKUP($A68&amp;"_"&amp;W$4,'2. หน้างบรายจ่าย'!$C:$K,8,0)))</f>
        <v>0</v>
      </c>
      <c r="X68" s="247">
        <f>IF($C68="",0,IF(ISNA(VLOOKUP($A68&amp;"_"&amp;X$4,'2. หน้างบรายจ่าย'!$C:$K,9,0)),0,VLOOKUP($A68&amp;"_"&amp;X$4,'2. หน้างบรายจ่าย'!$C:$K,9,0)))</f>
        <v>0</v>
      </c>
      <c r="Y68" s="247">
        <f>IF($C68="",0,IF(ISNA(VLOOKUP($A68&amp;"_"&amp;Y$4,'2. หน้างบรายจ่าย'!$C:$K,7,0)),0,VLOOKUP($A68&amp;"_"&amp;Y$4,'2. หน้างบรายจ่าย'!$C:$K,7,0)))</f>
        <v>0</v>
      </c>
      <c r="Z68" s="247">
        <f>IF($C68="",0,IF(ISNA(VLOOKUP($A68&amp;"_"&amp;Z$4,'2. หน้างบรายจ่าย'!$C:$K,8,0)),0,VLOOKUP($A68&amp;"_"&amp;Z$4,'2. หน้างบรายจ่าย'!$C:$K,8,0)))</f>
        <v>0</v>
      </c>
      <c r="AA68" s="247">
        <f>IF($C68="",0,IF(ISNA(VLOOKUP($A68&amp;"_"&amp;AA$4,'2. หน้างบรายจ่าย'!$C:$K,9,0)),0,VLOOKUP($A68&amp;"_"&amp;AA$4,'2. หน้างบรายจ่าย'!$C:$K,9,0)))</f>
        <v>0</v>
      </c>
      <c r="AB68" s="247">
        <f>IF($C68="",0,IF(ISNA(VLOOKUP($A68&amp;"_"&amp;AB$4,'2. หน้างบรายจ่าย'!$C:$K,7,0)),0,VLOOKUP($A68&amp;"_"&amp;AB$4,'2. หน้างบรายจ่าย'!$C:$K,7,0)))</f>
        <v>0</v>
      </c>
      <c r="AC68" s="251">
        <f>IF($C68="",0,IF(ISNA(VLOOKUP($A68&amp;"_"&amp;AC$4,'2. หน้างบรายจ่าย'!$C:$K,8,0)),0,VLOOKUP($A68&amp;"_"&amp;AC$4,'2. หน้างบรายจ่าย'!$C:$K,8,0)))</f>
        <v>0</v>
      </c>
      <c r="AD68" s="248">
        <f>IF($C68="",0,IF(ISNA(VLOOKUP($A68&amp;"_"&amp;AD$4,'2. หน้างบรายจ่าย'!$C:$K,9,0)),0,VLOOKUP($A68&amp;"_"&amp;AD$4,'2. หน้างบรายจ่าย'!$C:$K,9,0)))</f>
        <v>0</v>
      </c>
      <c r="AE68" s="246">
        <f>IF($C68="",0,IF(ISNA(VLOOKUP($A68&amp;"_"&amp;AE$4,'2. หน้างบรายจ่าย'!$C:$K,7,0)),0,VLOOKUP($A68&amp;"_"&amp;AE$4,'2. หน้างบรายจ่าย'!$C:$K,7,0)))</f>
        <v>0</v>
      </c>
      <c r="AF68" s="250">
        <f>IF($C68="",0,IF(ISNA(VLOOKUP($A68&amp;"_"&amp;AF$4,'2. หน้างบรายจ่าย'!$C:$K,8,0)),0,VLOOKUP($A68&amp;"_"&amp;AF$4,'2. หน้างบรายจ่าย'!$C:$K,8,0)))</f>
        <v>0</v>
      </c>
      <c r="AG68" s="248">
        <f>IF($C68="",0,IF(ISNA(VLOOKUP($A68&amp;"_"&amp;AG$4,'2. หน้างบรายจ่าย'!$C:$K,9,0)),0,VLOOKUP($A68&amp;"_"&amp;AG$4,'2. หน้างบรายจ่าย'!$C:$K,9,0)))</f>
        <v>0</v>
      </c>
      <c r="AH68" s="249">
        <f>IF($C68="",0,IF(ISNA(VLOOKUP($A68&amp;"_"&amp;AH$4,'2. หน้างบรายจ่าย'!$C:$K,7,0)),0,VLOOKUP($A68&amp;"_"&amp;AH$4,'2. หน้างบรายจ่าย'!$C:$K,7,0)))</f>
        <v>0</v>
      </c>
      <c r="AI68" s="250">
        <f>IF($C68="",0,IF(ISNA(VLOOKUP($A68&amp;"_"&amp;AI$4,'2. หน้างบรายจ่าย'!$C:$K,8,0)),0,VLOOKUP($A68&amp;"_"&amp;AI$4,'2. หน้างบรายจ่าย'!$C:$K,8,0)))</f>
        <v>0</v>
      </c>
      <c r="AJ68" s="248">
        <f>IF($C68="",0,IF(ISNA(VLOOKUP($A68&amp;"_"&amp;AJ$4,'2. หน้างบรายจ่าย'!$C:$K,9,0)),0,VLOOKUP($A68&amp;"_"&amp;AJ$4,'2. หน้างบรายจ่าย'!$C:$K,9,0)))</f>
        <v>0</v>
      </c>
      <c r="AK68" s="249">
        <f>IF($C68="",0,IF(ISNA(VLOOKUP($A68&amp;"_"&amp;AK$4,'2. หน้างบรายจ่าย'!$C:$K,7,0)),0,VLOOKUP($A68&amp;"_"&amp;AK$4,'2. หน้างบรายจ่าย'!$C:$K,7,0)))</f>
        <v>0</v>
      </c>
      <c r="AL68" s="250">
        <f>IF($C68="",0,IF(ISNA(VLOOKUP($A68&amp;"_"&amp;AL$4,'2. หน้างบรายจ่าย'!$C:$K,8,0)),0,VLOOKUP($A68&amp;"_"&amp;AL$4,'2. หน้างบรายจ่าย'!$C:$K,8,0)))</f>
        <v>0</v>
      </c>
      <c r="AM68" s="248">
        <f>IF($C68="",0,IF(ISNA(VLOOKUP($A68&amp;"_"&amp;AM$4,'2. หน้างบรายจ่าย'!$C:$K,9,0)),0,VLOOKUP($A68&amp;"_"&amp;AM$4,'2. หน้างบรายจ่าย'!$C:$K,9,0)))</f>
        <v>0</v>
      </c>
      <c r="AP68" s="171" t="str">
        <f t="shared" si="25"/>
        <v>No</v>
      </c>
    </row>
    <row r="69" spans="1:42" ht="25.5" hidden="1" customHeight="1">
      <c r="A69" s="210">
        <v>40</v>
      </c>
      <c r="B69" s="244" t="str">
        <f>IF(ISNA(VLOOKUP(A69,'2. หน้างบรายจ่าย'!$A:$K,4,0)),"",TEXT(VLOOKUP(A69,'2. หน้างบรายจ่าย'!$A:$K,4,0),"dd ดดด yy"))</f>
        <v/>
      </c>
      <c r="C69" s="245" t="str">
        <f>IF(ISNA(VLOOKUP(A69,'2. หน้างบรายจ่าย'!$A:$K,8,0)),"",VLOOKUP(A69,'2. หน้างบรายจ่าย'!$A:$K,8,0))</f>
        <v/>
      </c>
      <c r="D69" s="231">
        <f t="shared" si="22"/>
        <v>0</v>
      </c>
      <c r="E69" s="232">
        <f t="shared" si="23"/>
        <v>0</v>
      </c>
      <c r="F69" s="231">
        <f t="shared" si="24"/>
        <v>0</v>
      </c>
      <c r="G69" s="247">
        <f>IF($C69="",0,IF(ISNA(VLOOKUP($A69&amp;"_"&amp;G$4,'2. หน้างบรายจ่าย'!$C:$K,7,0)),0,VLOOKUP($A69&amp;"_"&amp;G$4,'2. หน้างบรายจ่าย'!$C:$K,7,0)))</f>
        <v>0</v>
      </c>
      <c r="H69" s="247">
        <f>IF($C69="",0,IF(ISNA(VLOOKUP($A69&amp;"_"&amp;H$4,'2. หน้างบรายจ่าย'!$C:$K,8,0)),0,VLOOKUP($A69&amp;"_"&amp;H$4,'2. หน้างบรายจ่าย'!$C:$K,8,0)))</f>
        <v>0</v>
      </c>
      <c r="I69" s="247">
        <f>IF($C69="",0,IF(ISNA(VLOOKUP($A69&amp;"_"&amp;I$4,'2. หน้างบรายจ่าย'!$C:$K,9,0)),0,VLOOKUP($A69&amp;"_"&amp;I$4,'2. หน้างบรายจ่าย'!$C:$K,9,0)))</f>
        <v>0</v>
      </c>
      <c r="J69" s="247">
        <f>IF($C69="",0,IF(ISNA(VLOOKUP($A69&amp;"_"&amp;J$4,'2. หน้างบรายจ่าย'!$C:$K,7,0)),0,VLOOKUP($A69&amp;"_"&amp;J$4,'2. หน้างบรายจ่าย'!$C:$K,7,0)))</f>
        <v>0</v>
      </c>
      <c r="K69" s="247">
        <f>IF($C69="",0,IF(ISNA(VLOOKUP($A69&amp;"_"&amp;K$4,'2. หน้างบรายจ่าย'!$C:$K,8,0)),0,VLOOKUP($A69&amp;"_"&amp;K$4,'2. หน้างบรายจ่าย'!$C:$K,8,0)))</f>
        <v>0</v>
      </c>
      <c r="L69" s="247">
        <f>IF($C69="",0,IF(ISNA(VLOOKUP($A69&amp;"_"&amp;L$4,'2. หน้างบรายจ่าย'!$C:$K,9,0)),0,VLOOKUP($A69&amp;"_"&amp;L$4,'2. หน้างบรายจ่าย'!$C:$K,9,0)))</f>
        <v>0</v>
      </c>
      <c r="M69" s="247">
        <f>IF($C69="",0,IF(ISNA(VLOOKUP($A69&amp;"_"&amp;M$4,'2. หน้างบรายจ่าย'!$C:$K,7,0)),0,VLOOKUP($A69&amp;"_"&amp;M$4,'2. หน้างบรายจ่าย'!$C:$K,7,0)))</f>
        <v>0</v>
      </c>
      <c r="N69" s="247">
        <f>IF($C69="",0,IF(ISNA(VLOOKUP($A69&amp;"_"&amp;N$4,'2. หน้างบรายจ่าย'!$C:$K,8,0)),0,VLOOKUP($A69&amp;"_"&amp;N$4,'2. หน้างบรายจ่าย'!$C:$K,8,0)))</f>
        <v>0</v>
      </c>
      <c r="O69" s="248">
        <f>IF($C69="",0,IF(ISNA(VLOOKUP($A69&amp;"_"&amp;O$4,'2. หน้างบรายจ่าย'!$C:$K,9,0)),0,VLOOKUP($A69&amp;"_"&amp;O$4,'2. หน้างบรายจ่าย'!$C:$K,9,0)))</f>
        <v>0</v>
      </c>
      <c r="P69" s="246">
        <f>IF($C69="",0,IF(ISNA(VLOOKUP($A69&amp;"_"&amp;P$4,'2. หน้างบรายจ่าย'!$C:$K,7,0)),0,VLOOKUP($A69&amp;"_"&amp;P$4,'2. หน้างบรายจ่าย'!$C:$K,7,0)))</f>
        <v>0</v>
      </c>
      <c r="Q69" s="249">
        <f>IF($C69="",0,IF(ISNA(VLOOKUP($A69&amp;"_"&amp;Q$4,'2. หน้างบรายจ่าย'!$C:$K,8,0)),0,VLOOKUP($A69&amp;"_"&amp;Q$4,'2. หน้างบรายจ่าย'!$C:$K,8,0)))</f>
        <v>0</v>
      </c>
      <c r="R69" s="247">
        <f>IF($C69="",0,IF(ISNA(VLOOKUP($A69&amp;"_"&amp;R$4,'2. หน้างบรายจ่าย'!$C:$K,9,0)),0,VLOOKUP($A69&amp;"_"&amp;R$4,'2. หน้างบรายจ่าย'!$C:$K,9,0)))</f>
        <v>0</v>
      </c>
      <c r="S69" s="247">
        <f>IF($C69="",0,IF(ISNA(VLOOKUP($A69&amp;"_"&amp;S$4,'2. หน้างบรายจ่าย'!$C:$K,7,0)),0,VLOOKUP($A69&amp;"_"&amp;S$4,'2. หน้างบรายจ่าย'!$C:$K,7,0)))</f>
        <v>0</v>
      </c>
      <c r="T69" s="247">
        <f>IF($C69="",0,IF(ISNA(VLOOKUP($A69&amp;"_"&amp;T$4,'2. หน้างบรายจ่าย'!$C:$K,8,0)),0,VLOOKUP($A69&amp;"_"&amp;T$4,'2. หน้างบรายจ่าย'!$C:$K,8,0)))</f>
        <v>0</v>
      </c>
      <c r="U69" s="247">
        <f>IF($C69="",0,IF(ISNA(VLOOKUP($A69&amp;"_"&amp;U$4,'2. หน้างบรายจ่าย'!$C:$K,9,0)),0,VLOOKUP($A69&amp;"_"&amp;U$4,'2. หน้างบรายจ่าย'!$C:$K,9,0)))</f>
        <v>0</v>
      </c>
      <c r="V69" s="247">
        <f>IF($C69="",0,IF(ISNA(VLOOKUP($A69&amp;"_"&amp;V$4,'2. หน้างบรายจ่าย'!$C:$K,7,0)),0,VLOOKUP($A69&amp;"_"&amp;V$4,'2. หน้างบรายจ่าย'!$C:$K,7,0)))</f>
        <v>0</v>
      </c>
      <c r="W69" s="247">
        <f>IF($C69="",0,IF(ISNA(VLOOKUP($A69&amp;"_"&amp;W$4,'2. หน้างบรายจ่าย'!$C:$K,8,0)),0,VLOOKUP($A69&amp;"_"&amp;W$4,'2. หน้างบรายจ่าย'!$C:$K,8,0)))</f>
        <v>0</v>
      </c>
      <c r="X69" s="247">
        <f>IF($C69="",0,IF(ISNA(VLOOKUP($A69&amp;"_"&amp;X$4,'2. หน้างบรายจ่าย'!$C:$K,9,0)),0,VLOOKUP($A69&amp;"_"&amp;X$4,'2. หน้างบรายจ่าย'!$C:$K,9,0)))</f>
        <v>0</v>
      </c>
      <c r="Y69" s="247">
        <f>IF($C69="",0,IF(ISNA(VLOOKUP($A69&amp;"_"&amp;Y$4,'2. หน้างบรายจ่าย'!$C:$K,7,0)),0,VLOOKUP($A69&amp;"_"&amp;Y$4,'2. หน้างบรายจ่าย'!$C:$K,7,0)))</f>
        <v>0</v>
      </c>
      <c r="Z69" s="247">
        <f>IF($C69="",0,IF(ISNA(VLOOKUP($A69&amp;"_"&amp;Z$4,'2. หน้างบรายจ่าย'!$C:$K,8,0)),0,VLOOKUP($A69&amp;"_"&amp;Z$4,'2. หน้างบรายจ่าย'!$C:$K,8,0)))</f>
        <v>0</v>
      </c>
      <c r="AA69" s="247">
        <f>IF($C69="",0,IF(ISNA(VLOOKUP($A69&amp;"_"&amp;AA$4,'2. หน้างบรายจ่าย'!$C:$K,9,0)),0,VLOOKUP($A69&amp;"_"&amp;AA$4,'2. หน้างบรายจ่าย'!$C:$K,9,0)))</f>
        <v>0</v>
      </c>
      <c r="AB69" s="247">
        <f>IF($C69="",0,IF(ISNA(VLOOKUP($A69&amp;"_"&amp;AB$4,'2. หน้างบรายจ่าย'!$C:$K,7,0)),0,VLOOKUP($A69&amp;"_"&amp;AB$4,'2. หน้างบรายจ่าย'!$C:$K,7,0)))</f>
        <v>0</v>
      </c>
      <c r="AC69" s="251">
        <f>IF($C69="",0,IF(ISNA(VLOOKUP($A69&amp;"_"&amp;AC$4,'2. หน้างบรายจ่าย'!$C:$K,8,0)),0,VLOOKUP($A69&amp;"_"&amp;AC$4,'2. หน้างบรายจ่าย'!$C:$K,8,0)))</f>
        <v>0</v>
      </c>
      <c r="AD69" s="248">
        <f>IF($C69="",0,IF(ISNA(VLOOKUP($A69&amp;"_"&amp;AD$4,'2. หน้างบรายจ่าย'!$C:$K,9,0)),0,VLOOKUP($A69&amp;"_"&amp;AD$4,'2. หน้างบรายจ่าย'!$C:$K,9,0)))</f>
        <v>0</v>
      </c>
      <c r="AE69" s="246">
        <f>IF($C69="",0,IF(ISNA(VLOOKUP($A69&amp;"_"&amp;AE$4,'2. หน้างบรายจ่าย'!$C:$K,7,0)),0,VLOOKUP($A69&amp;"_"&amp;AE$4,'2. หน้างบรายจ่าย'!$C:$K,7,0)))</f>
        <v>0</v>
      </c>
      <c r="AF69" s="250">
        <f>IF($C69="",0,IF(ISNA(VLOOKUP($A69&amp;"_"&amp;AF$4,'2. หน้างบรายจ่าย'!$C:$K,8,0)),0,VLOOKUP($A69&amp;"_"&amp;AF$4,'2. หน้างบรายจ่าย'!$C:$K,8,0)))</f>
        <v>0</v>
      </c>
      <c r="AG69" s="248">
        <f>IF($C69="",0,IF(ISNA(VLOOKUP($A69&amp;"_"&amp;AG$4,'2. หน้างบรายจ่าย'!$C:$K,9,0)),0,VLOOKUP($A69&amp;"_"&amp;AG$4,'2. หน้างบรายจ่าย'!$C:$K,9,0)))</f>
        <v>0</v>
      </c>
      <c r="AH69" s="249">
        <f>IF($C69="",0,IF(ISNA(VLOOKUP($A69&amp;"_"&amp;AH$4,'2. หน้างบรายจ่าย'!$C:$K,7,0)),0,VLOOKUP($A69&amp;"_"&amp;AH$4,'2. หน้างบรายจ่าย'!$C:$K,7,0)))</f>
        <v>0</v>
      </c>
      <c r="AI69" s="250">
        <f>IF($C69="",0,IF(ISNA(VLOOKUP($A69&amp;"_"&amp;AI$4,'2. หน้างบรายจ่าย'!$C:$K,8,0)),0,VLOOKUP($A69&amp;"_"&amp;AI$4,'2. หน้างบรายจ่าย'!$C:$K,8,0)))</f>
        <v>0</v>
      </c>
      <c r="AJ69" s="248">
        <f>IF($C69="",0,IF(ISNA(VLOOKUP($A69&amp;"_"&amp;AJ$4,'2. หน้างบรายจ่าย'!$C:$K,9,0)),0,VLOOKUP($A69&amp;"_"&amp;AJ$4,'2. หน้างบรายจ่าย'!$C:$K,9,0)))</f>
        <v>0</v>
      </c>
      <c r="AK69" s="249">
        <f>IF($C69="",0,IF(ISNA(VLOOKUP($A69&amp;"_"&amp;AK$4,'2. หน้างบรายจ่าย'!$C:$K,7,0)),0,VLOOKUP($A69&amp;"_"&amp;AK$4,'2. หน้างบรายจ่าย'!$C:$K,7,0)))</f>
        <v>0</v>
      </c>
      <c r="AL69" s="250">
        <f>IF($C69="",0,IF(ISNA(VLOOKUP($A69&amp;"_"&amp;AL$4,'2. หน้างบรายจ่าย'!$C:$K,8,0)),0,VLOOKUP($A69&amp;"_"&amp;AL$4,'2. หน้างบรายจ่าย'!$C:$K,8,0)))</f>
        <v>0</v>
      </c>
      <c r="AM69" s="248">
        <f>IF($C69="",0,IF(ISNA(VLOOKUP($A69&amp;"_"&amp;AM$4,'2. หน้างบรายจ่าย'!$C:$K,9,0)),0,VLOOKUP($A69&amp;"_"&amp;AM$4,'2. หน้างบรายจ่าย'!$C:$K,9,0)))</f>
        <v>0</v>
      </c>
      <c r="AP69" s="171" t="str">
        <f t="shared" si="25"/>
        <v>No</v>
      </c>
    </row>
    <row r="70" spans="1:42" ht="25.5" hidden="1" customHeight="1">
      <c r="A70" s="210">
        <v>41</v>
      </c>
      <c r="B70" s="244" t="str">
        <f>IF(ISNA(VLOOKUP(A70,'2. หน้างบรายจ่าย'!$A:$K,4,0)),"",TEXT(VLOOKUP(A70,'2. หน้างบรายจ่าย'!$A:$K,4,0),"dd ดดด yy"))</f>
        <v/>
      </c>
      <c r="C70" s="245" t="str">
        <f>IF(ISNA(VLOOKUP(A70,'2. หน้างบรายจ่าย'!$A:$K,8,0)),"",VLOOKUP(A70,'2. หน้างบรายจ่าย'!$A:$K,8,0))</f>
        <v/>
      </c>
      <c r="D70" s="231">
        <f t="shared" si="22"/>
        <v>0</v>
      </c>
      <c r="E70" s="232">
        <f t="shared" si="23"/>
        <v>0</v>
      </c>
      <c r="F70" s="231">
        <f t="shared" si="24"/>
        <v>0</v>
      </c>
      <c r="G70" s="247">
        <f>IF($C70="",0,IF(ISNA(VLOOKUP($A70&amp;"_"&amp;G$4,'2. หน้างบรายจ่าย'!$C:$K,7,0)),0,VLOOKUP($A70&amp;"_"&amp;G$4,'2. หน้างบรายจ่าย'!$C:$K,7,0)))</f>
        <v>0</v>
      </c>
      <c r="H70" s="247">
        <f>IF($C70="",0,IF(ISNA(VLOOKUP($A70&amp;"_"&amp;H$4,'2. หน้างบรายจ่าย'!$C:$K,8,0)),0,VLOOKUP($A70&amp;"_"&amp;H$4,'2. หน้างบรายจ่าย'!$C:$K,8,0)))</f>
        <v>0</v>
      </c>
      <c r="I70" s="247">
        <f>IF($C70="",0,IF(ISNA(VLOOKUP($A70&amp;"_"&amp;I$4,'2. หน้างบรายจ่าย'!$C:$K,9,0)),0,VLOOKUP($A70&amp;"_"&amp;I$4,'2. หน้างบรายจ่าย'!$C:$K,9,0)))</f>
        <v>0</v>
      </c>
      <c r="J70" s="247">
        <f>IF($C70="",0,IF(ISNA(VLOOKUP($A70&amp;"_"&amp;J$4,'2. หน้างบรายจ่าย'!$C:$K,7,0)),0,VLOOKUP($A70&amp;"_"&amp;J$4,'2. หน้างบรายจ่าย'!$C:$K,7,0)))</f>
        <v>0</v>
      </c>
      <c r="K70" s="247">
        <f>IF($C70="",0,IF(ISNA(VLOOKUP($A70&amp;"_"&amp;K$4,'2. หน้างบรายจ่าย'!$C:$K,8,0)),0,VLOOKUP($A70&amp;"_"&amp;K$4,'2. หน้างบรายจ่าย'!$C:$K,8,0)))</f>
        <v>0</v>
      </c>
      <c r="L70" s="247">
        <f>IF($C70="",0,IF(ISNA(VLOOKUP($A70&amp;"_"&amp;L$4,'2. หน้างบรายจ่าย'!$C:$K,9,0)),0,VLOOKUP($A70&amp;"_"&amp;L$4,'2. หน้างบรายจ่าย'!$C:$K,9,0)))</f>
        <v>0</v>
      </c>
      <c r="M70" s="247">
        <f>IF($C70="",0,IF(ISNA(VLOOKUP($A70&amp;"_"&amp;M$4,'2. หน้างบรายจ่าย'!$C:$K,7,0)),0,VLOOKUP($A70&amp;"_"&amp;M$4,'2. หน้างบรายจ่าย'!$C:$K,7,0)))</f>
        <v>0</v>
      </c>
      <c r="N70" s="247">
        <f>IF($C70="",0,IF(ISNA(VLOOKUP($A70&amp;"_"&amp;N$4,'2. หน้างบรายจ่าย'!$C:$K,8,0)),0,VLOOKUP($A70&amp;"_"&amp;N$4,'2. หน้างบรายจ่าย'!$C:$K,8,0)))</f>
        <v>0</v>
      </c>
      <c r="O70" s="248">
        <f>IF($C70="",0,IF(ISNA(VLOOKUP($A70&amp;"_"&amp;O$4,'2. หน้างบรายจ่าย'!$C:$K,9,0)),0,VLOOKUP($A70&amp;"_"&amp;O$4,'2. หน้างบรายจ่าย'!$C:$K,9,0)))</f>
        <v>0</v>
      </c>
      <c r="P70" s="246">
        <f>IF($C70="",0,IF(ISNA(VLOOKUP($A70&amp;"_"&amp;P$4,'2. หน้างบรายจ่าย'!$C:$K,7,0)),0,VLOOKUP($A70&amp;"_"&amp;P$4,'2. หน้างบรายจ่าย'!$C:$K,7,0)))</f>
        <v>0</v>
      </c>
      <c r="Q70" s="249">
        <f>IF($C70="",0,IF(ISNA(VLOOKUP($A70&amp;"_"&amp;Q$4,'2. หน้างบรายจ่าย'!$C:$K,8,0)),0,VLOOKUP($A70&amp;"_"&amp;Q$4,'2. หน้างบรายจ่าย'!$C:$K,8,0)))</f>
        <v>0</v>
      </c>
      <c r="R70" s="247">
        <f>IF($C70="",0,IF(ISNA(VLOOKUP($A70&amp;"_"&amp;R$4,'2. หน้างบรายจ่าย'!$C:$K,9,0)),0,VLOOKUP($A70&amp;"_"&amp;R$4,'2. หน้างบรายจ่าย'!$C:$K,9,0)))</f>
        <v>0</v>
      </c>
      <c r="S70" s="247">
        <f>IF($C70="",0,IF(ISNA(VLOOKUP($A70&amp;"_"&amp;S$4,'2. หน้างบรายจ่าย'!$C:$K,7,0)),0,VLOOKUP($A70&amp;"_"&amp;S$4,'2. หน้างบรายจ่าย'!$C:$K,7,0)))</f>
        <v>0</v>
      </c>
      <c r="T70" s="247">
        <f>IF($C70="",0,IF(ISNA(VLOOKUP($A70&amp;"_"&amp;T$4,'2. หน้างบรายจ่าย'!$C:$K,8,0)),0,VLOOKUP($A70&amp;"_"&amp;T$4,'2. หน้างบรายจ่าย'!$C:$K,8,0)))</f>
        <v>0</v>
      </c>
      <c r="U70" s="247">
        <f>IF($C70="",0,IF(ISNA(VLOOKUP($A70&amp;"_"&amp;U$4,'2. หน้างบรายจ่าย'!$C:$K,9,0)),0,VLOOKUP($A70&amp;"_"&amp;U$4,'2. หน้างบรายจ่าย'!$C:$K,9,0)))</f>
        <v>0</v>
      </c>
      <c r="V70" s="247">
        <f>IF($C70="",0,IF(ISNA(VLOOKUP($A70&amp;"_"&amp;V$4,'2. หน้างบรายจ่าย'!$C:$K,7,0)),0,VLOOKUP($A70&amp;"_"&amp;V$4,'2. หน้างบรายจ่าย'!$C:$K,7,0)))</f>
        <v>0</v>
      </c>
      <c r="W70" s="247">
        <f>IF($C70="",0,IF(ISNA(VLOOKUP($A70&amp;"_"&amp;W$4,'2. หน้างบรายจ่าย'!$C:$K,8,0)),0,VLOOKUP($A70&amp;"_"&amp;W$4,'2. หน้างบรายจ่าย'!$C:$K,8,0)))</f>
        <v>0</v>
      </c>
      <c r="X70" s="247">
        <f>IF($C70="",0,IF(ISNA(VLOOKUP($A70&amp;"_"&amp;X$4,'2. หน้างบรายจ่าย'!$C:$K,9,0)),0,VLOOKUP($A70&amp;"_"&amp;X$4,'2. หน้างบรายจ่าย'!$C:$K,9,0)))</f>
        <v>0</v>
      </c>
      <c r="Y70" s="247">
        <f>IF($C70="",0,IF(ISNA(VLOOKUP($A70&amp;"_"&amp;Y$4,'2. หน้างบรายจ่าย'!$C:$K,7,0)),0,VLOOKUP($A70&amp;"_"&amp;Y$4,'2. หน้างบรายจ่าย'!$C:$K,7,0)))</f>
        <v>0</v>
      </c>
      <c r="Z70" s="247">
        <f>IF($C70="",0,IF(ISNA(VLOOKUP($A70&amp;"_"&amp;Z$4,'2. หน้างบรายจ่าย'!$C:$K,8,0)),0,VLOOKUP($A70&amp;"_"&amp;Z$4,'2. หน้างบรายจ่าย'!$C:$K,8,0)))</f>
        <v>0</v>
      </c>
      <c r="AA70" s="247">
        <f>IF($C70="",0,IF(ISNA(VLOOKUP($A70&amp;"_"&amp;AA$4,'2. หน้างบรายจ่าย'!$C:$K,9,0)),0,VLOOKUP($A70&amp;"_"&amp;AA$4,'2. หน้างบรายจ่าย'!$C:$K,9,0)))</f>
        <v>0</v>
      </c>
      <c r="AB70" s="247">
        <f>IF($C70="",0,IF(ISNA(VLOOKUP($A70&amp;"_"&amp;AB$4,'2. หน้างบรายจ่าย'!$C:$K,7,0)),0,VLOOKUP($A70&amp;"_"&amp;AB$4,'2. หน้างบรายจ่าย'!$C:$K,7,0)))</f>
        <v>0</v>
      </c>
      <c r="AC70" s="251">
        <f>IF($C70="",0,IF(ISNA(VLOOKUP($A70&amp;"_"&amp;AC$4,'2. หน้างบรายจ่าย'!$C:$K,8,0)),0,VLOOKUP($A70&amp;"_"&amp;AC$4,'2. หน้างบรายจ่าย'!$C:$K,8,0)))</f>
        <v>0</v>
      </c>
      <c r="AD70" s="248">
        <f>IF($C70="",0,IF(ISNA(VLOOKUP($A70&amp;"_"&amp;AD$4,'2. หน้างบรายจ่าย'!$C:$K,9,0)),0,VLOOKUP($A70&amp;"_"&amp;AD$4,'2. หน้างบรายจ่าย'!$C:$K,9,0)))</f>
        <v>0</v>
      </c>
      <c r="AE70" s="246">
        <f>IF($C70="",0,IF(ISNA(VLOOKUP($A70&amp;"_"&amp;AE$4,'2. หน้างบรายจ่าย'!$C:$K,7,0)),0,VLOOKUP($A70&amp;"_"&amp;AE$4,'2. หน้างบรายจ่าย'!$C:$K,7,0)))</f>
        <v>0</v>
      </c>
      <c r="AF70" s="250">
        <f>IF($C70="",0,IF(ISNA(VLOOKUP($A70&amp;"_"&amp;AF$4,'2. หน้างบรายจ่าย'!$C:$K,8,0)),0,VLOOKUP($A70&amp;"_"&amp;AF$4,'2. หน้างบรายจ่าย'!$C:$K,8,0)))</f>
        <v>0</v>
      </c>
      <c r="AG70" s="248">
        <f>IF($C70="",0,IF(ISNA(VLOOKUP($A70&amp;"_"&amp;AG$4,'2. หน้างบรายจ่าย'!$C:$K,9,0)),0,VLOOKUP($A70&amp;"_"&amp;AG$4,'2. หน้างบรายจ่าย'!$C:$K,9,0)))</f>
        <v>0</v>
      </c>
      <c r="AH70" s="249">
        <f>IF($C70="",0,IF(ISNA(VLOOKUP($A70&amp;"_"&amp;AH$4,'2. หน้างบรายจ่าย'!$C:$K,7,0)),0,VLOOKUP($A70&amp;"_"&amp;AH$4,'2. หน้างบรายจ่าย'!$C:$K,7,0)))</f>
        <v>0</v>
      </c>
      <c r="AI70" s="250">
        <f>IF($C70="",0,IF(ISNA(VLOOKUP($A70&amp;"_"&amp;AI$4,'2. หน้างบรายจ่าย'!$C:$K,8,0)),0,VLOOKUP($A70&amp;"_"&amp;AI$4,'2. หน้างบรายจ่าย'!$C:$K,8,0)))</f>
        <v>0</v>
      </c>
      <c r="AJ70" s="248">
        <f>IF($C70="",0,IF(ISNA(VLOOKUP($A70&amp;"_"&amp;AJ$4,'2. หน้างบรายจ่าย'!$C:$K,9,0)),0,VLOOKUP($A70&amp;"_"&amp;AJ$4,'2. หน้างบรายจ่าย'!$C:$K,9,0)))</f>
        <v>0</v>
      </c>
      <c r="AK70" s="249">
        <f>IF($C70="",0,IF(ISNA(VLOOKUP($A70&amp;"_"&amp;AK$4,'2. หน้างบรายจ่าย'!$C:$K,7,0)),0,VLOOKUP($A70&amp;"_"&amp;AK$4,'2. หน้างบรายจ่าย'!$C:$K,7,0)))</f>
        <v>0</v>
      </c>
      <c r="AL70" s="250">
        <f>IF($C70="",0,IF(ISNA(VLOOKUP($A70&amp;"_"&amp;AL$4,'2. หน้างบรายจ่าย'!$C:$K,8,0)),0,VLOOKUP($A70&amp;"_"&amp;AL$4,'2. หน้างบรายจ่าย'!$C:$K,8,0)))</f>
        <v>0</v>
      </c>
      <c r="AM70" s="248">
        <f>IF($C70="",0,IF(ISNA(VLOOKUP($A70&amp;"_"&amp;AM$4,'2. หน้างบรายจ่าย'!$C:$K,9,0)),0,VLOOKUP($A70&amp;"_"&amp;AM$4,'2. หน้างบรายจ่าย'!$C:$K,9,0)))</f>
        <v>0</v>
      </c>
      <c r="AP70" s="171" t="str">
        <f t="shared" si="25"/>
        <v>No</v>
      </c>
    </row>
    <row r="71" spans="1:42" ht="25.5" hidden="1" customHeight="1">
      <c r="A71" s="210">
        <v>42</v>
      </c>
      <c r="B71" s="244" t="str">
        <f>IF(ISNA(VLOOKUP(A71,'2. หน้างบรายจ่าย'!$A:$K,4,0)),"",TEXT(VLOOKUP(A71,'2. หน้างบรายจ่าย'!$A:$K,4,0),"dd ดดด yy"))</f>
        <v/>
      </c>
      <c r="C71" s="245" t="str">
        <f>IF(ISNA(VLOOKUP(A71,'2. หน้างบรายจ่าย'!$A:$K,8,0)),"",VLOOKUP(A71,'2. หน้างบรายจ่าย'!$A:$K,8,0))</f>
        <v/>
      </c>
      <c r="D71" s="231">
        <f t="shared" si="22"/>
        <v>0</v>
      </c>
      <c r="E71" s="232">
        <f t="shared" si="23"/>
        <v>0</v>
      </c>
      <c r="F71" s="231">
        <f t="shared" si="24"/>
        <v>0</v>
      </c>
      <c r="G71" s="247">
        <f>IF($C71="",0,IF(ISNA(VLOOKUP($A71&amp;"_"&amp;G$4,'2. หน้างบรายจ่าย'!$C:$K,7,0)),0,VLOOKUP($A71&amp;"_"&amp;G$4,'2. หน้างบรายจ่าย'!$C:$K,7,0)))</f>
        <v>0</v>
      </c>
      <c r="H71" s="247">
        <f>IF($C71="",0,IF(ISNA(VLOOKUP($A71&amp;"_"&amp;H$4,'2. หน้างบรายจ่าย'!$C:$K,8,0)),0,VLOOKUP($A71&amp;"_"&amp;H$4,'2. หน้างบรายจ่าย'!$C:$K,8,0)))</f>
        <v>0</v>
      </c>
      <c r="I71" s="247">
        <f>IF($C71="",0,IF(ISNA(VLOOKUP($A71&amp;"_"&amp;I$4,'2. หน้างบรายจ่าย'!$C:$K,9,0)),0,VLOOKUP($A71&amp;"_"&amp;I$4,'2. หน้างบรายจ่าย'!$C:$K,9,0)))</f>
        <v>0</v>
      </c>
      <c r="J71" s="247">
        <f>IF($C71="",0,IF(ISNA(VLOOKUP($A71&amp;"_"&amp;J$4,'2. หน้างบรายจ่าย'!$C:$K,7,0)),0,VLOOKUP($A71&amp;"_"&amp;J$4,'2. หน้างบรายจ่าย'!$C:$K,7,0)))</f>
        <v>0</v>
      </c>
      <c r="K71" s="247">
        <f>IF($C71="",0,IF(ISNA(VLOOKUP($A71&amp;"_"&amp;K$4,'2. หน้างบรายจ่าย'!$C:$K,8,0)),0,VLOOKUP($A71&amp;"_"&amp;K$4,'2. หน้างบรายจ่าย'!$C:$K,8,0)))</f>
        <v>0</v>
      </c>
      <c r="L71" s="247">
        <f>IF($C71="",0,IF(ISNA(VLOOKUP($A71&amp;"_"&amp;L$4,'2. หน้างบรายจ่าย'!$C:$K,9,0)),0,VLOOKUP($A71&amp;"_"&amp;L$4,'2. หน้างบรายจ่าย'!$C:$K,9,0)))</f>
        <v>0</v>
      </c>
      <c r="M71" s="247">
        <f>IF($C71="",0,IF(ISNA(VLOOKUP($A71&amp;"_"&amp;M$4,'2. หน้างบรายจ่าย'!$C:$K,7,0)),0,VLOOKUP($A71&amp;"_"&amp;M$4,'2. หน้างบรายจ่าย'!$C:$K,7,0)))</f>
        <v>0</v>
      </c>
      <c r="N71" s="247">
        <f>IF($C71="",0,IF(ISNA(VLOOKUP($A71&amp;"_"&amp;N$4,'2. หน้างบรายจ่าย'!$C:$K,8,0)),0,VLOOKUP($A71&amp;"_"&amp;N$4,'2. หน้างบรายจ่าย'!$C:$K,8,0)))</f>
        <v>0</v>
      </c>
      <c r="O71" s="248">
        <f>IF($C71="",0,IF(ISNA(VLOOKUP($A71&amp;"_"&amp;O$4,'2. หน้างบรายจ่าย'!$C:$K,9,0)),0,VLOOKUP($A71&amp;"_"&amp;O$4,'2. หน้างบรายจ่าย'!$C:$K,9,0)))</f>
        <v>0</v>
      </c>
      <c r="P71" s="246">
        <f>IF($C71="",0,IF(ISNA(VLOOKUP($A71&amp;"_"&amp;P$4,'2. หน้างบรายจ่าย'!$C:$K,7,0)),0,VLOOKUP($A71&amp;"_"&amp;P$4,'2. หน้างบรายจ่าย'!$C:$K,7,0)))</f>
        <v>0</v>
      </c>
      <c r="Q71" s="249">
        <f>IF($C71="",0,IF(ISNA(VLOOKUP($A71&amp;"_"&amp;Q$4,'2. หน้างบรายจ่าย'!$C:$K,8,0)),0,VLOOKUP($A71&amp;"_"&amp;Q$4,'2. หน้างบรายจ่าย'!$C:$K,8,0)))</f>
        <v>0</v>
      </c>
      <c r="R71" s="247">
        <f>IF($C71="",0,IF(ISNA(VLOOKUP($A71&amp;"_"&amp;R$4,'2. หน้างบรายจ่าย'!$C:$K,9,0)),0,VLOOKUP($A71&amp;"_"&amp;R$4,'2. หน้างบรายจ่าย'!$C:$K,9,0)))</f>
        <v>0</v>
      </c>
      <c r="S71" s="247">
        <f>IF($C71="",0,IF(ISNA(VLOOKUP($A71&amp;"_"&amp;S$4,'2. หน้างบรายจ่าย'!$C:$K,7,0)),0,VLOOKUP($A71&amp;"_"&amp;S$4,'2. หน้างบรายจ่าย'!$C:$K,7,0)))</f>
        <v>0</v>
      </c>
      <c r="T71" s="247">
        <f>IF($C71="",0,IF(ISNA(VLOOKUP($A71&amp;"_"&amp;T$4,'2. หน้างบรายจ่าย'!$C:$K,8,0)),0,VLOOKUP($A71&amp;"_"&amp;T$4,'2. หน้างบรายจ่าย'!$C:$K,8,0)))</f>
        <v>0</v>
      </c>
      <c r="U71" s="247">
        <f>IF($C71="",0,IF(ISNA(VLOOKUP($A71&amp;"_"&amp;U$4,'2. หน้างบรายจ่าย'!$C:$K,9,0)),0,VLOOKUP($A71&amp;"_"&amp;U$4,'2. หน้างบรายจ่าย'!$C:$K,9,0)))</f>
        <v>0</v>
      </c>
      <c r="V71" s="247">
        <f>IF($C71="",0,IF(ISNA(VLOOKUP($A71&amp;"_"&amp;V$4,'2. หน้างบรายจ่าย'!$C:$K,7,0)),0,VLOOKUP($A71&amp;"_"&amp;V$4,'2. หน้างบรายจ่าย'!$C:$K,7,0)))</f>
        <v>0</v>
      </c>
      <c r="W71" s="247">
        <f>IF($C71="",0,IF(ISNA(VLOOKUP($A71&amp;"_"&amp;W$4,'2. หน้างบรายจ่าย'!$C:$K,8,0)),0,VLOOKUP($A71&amp;"_"&amp;W$4,'2. หน้างบรายจ่าย'!$C:$K,8,0)))</f>
        <v>0</v>
      </c>
      <c r="X71" s="247">
        <f>IF($C71="",0,IF(ISNA(VLOOKUP($A71&amp;"_"&amp;X$4,'2. หน้างบรายจ่าย'!$C:$K,9,0)),0,VLOOKUP($A71&amp;"_"&amp;X$4,'2. หน้างบรายจ่าย'!$C:$K,9,0)))</f>
        <v>0</v>
      </c>
      <c r="Y71" s="247">
        <f>IF($C71="",0,IF(ISNA(VLOOKUP($A71&amp;"_"&amp;Y$4,'2. หน้างบรายจ่าย'!$C:$K,7,0)),0,VLOOKUP($A71&amp;"_"&amp;Y$4,'2. หน้างบรายจ่าย'!$C:$K,7,0)))</f>
        <v>0</v>
      </c>
      <c r="Z71" s="247">
        <f>IF($C71="",0,IF(ISNA(VLOOKUP($A71&amp;"_"&amp;Z$4,'2. หน้างบรายจ่าย'!$C:$K,8,0)),0,VLOOKUP($A71&amp;"_"&amp;Z$4,'2. หน้างบรายจ่าย'!$C:$K,8,0)))</f>
        <v>0</v>
      </c>
      <c r="AA71" s="247">
        <f>IF($C71="",0,IF(ISNA(VLOOKUP($A71&amp;"_"&amp;AA$4,'2. หน้างบรายจ่าย'!$C:$K,9,0)),0,VLOOKUP($A71&amp;"_"&amp;AA$4,'2. หน้างบรายจ่าย'!$C:$K,9,0)))</f>
        <v>0</v>
      </c>
      <c r="AB71" s="247">
        <f>IF($C71="",0,IF(ISNA(VLOOKUP($A71&amp;"_"&amp;AB$4,'2. หน้างบรายจ่าย'!$C:$K,7,0)),0,VLOOKUP($A71&amp;"_"&amp;AB$4,'2. หน้างบรายจ่าย'!$C:$K,7,0)))</f>
        <v>0</v>
      </c>
      <c r="AC71" s="251">
        <f>IF($C71="",0,IF(ISNA(VLOOKUP($A71&amp;"_"&amp;AC$4,'2. หน้างบรายจ่าย'!$C:$K,8,0)),0,VLOOKUP($A71&amp;"_"&amp;AC$4,'2. หน้างบรายจ่าย'!$C:$K,8,0)))</f>
        <v>0</v>
      </c>
      <c r="AD71" s="248">
        <f>IF($C71="",0,IF(ISNA(VLOOKUP($A71&amp;"_"&amp;AD$4,'2. หน้างบรายจ่าย'!$C:$K,9,0)),0,VLOOKUP($A71&amp;"_"&amp;AD$4,'2. หน้างบรายจ่าย'!$C:$K,9,0)))</f>
        <v>0</v>
      </c>
      <c r="AE71" s="246">
        <f>IF($C71="",0,IF(ISNA(VLOOKUP($A71&amp;"_"&amp;AE$4,'2. หน้างบรายจ่าย'!$C:$K,7,0)),0,VLOOKUP($A71&amp;"_"&amp;AE$4,'2. หน้างบรายจ่าย'!$C:$K,7,0)))</f>
        <v>0</v>
      </c>
      <c r="AF71" s="250">
        <f>IF($C71="",0,IF(ISNA(VLOOKUP($A71&amp;"_"&amp;AF$4,'2. หน้างบรายจ่าย'!$C:$K,8,0)),0,VLOOKUP($A71&amp;"_"&amp;AF$4,'2. หน้างบรายจ่าย'!$C:$K,8,0)))</f>
        <v>0</v>
      </c>
      <c r="AG71" s="248">
        <f>IF($C71="",0,IF(ISNA(VLOOKUP($A71&amp;"_"&amp;AG$4,'2. หน้างบรายจ่าย'!$C:$K,9,0)),0,VLOOKUP($A71&amp;"_"&amp;AG$4,'2. หน้างบรายจ่าย'!$C:$K,9,0)))</f>
        <v>0</v>
      </c>
      <c r="AH71" s="249">
        <f>IF($C71="",0,IF(ISNA(VLOOKUP($A71&amp;"_"&amp;AH$4,'2. หน้างบรายจ่าย'!$C:$K,7,0)),0,VLOOKUP($A71&amp;"_"&amp;AH$4,'2. หน้างบรายจ่าย'!$C:$K,7,0)))</f>
        <v>0</v>
      </c>
      <c r="AI71" s="250">
        <f>IF($C71="",0,IF(ISNA(VLOOKUP($A71&amp;"_"&amp;AI$4,'2. หน้างบรายจ่าย'!$C:$K,8,0)),0,VLOOKUP($A71&amp;"_"&amp;AI$4,'2. หน้างบรายจ่าย'!$C:$K,8,0)))</f>
        <v>0</v>
      </c>
      <c r="AJ71" s="248">
        <f>IF($C71="",0,IF(ISNA(VLOOKUP($A71&amp;"_"&amp;AJ$4,'2. หน้างบรายจ่าย'!$C:$K,9,0)),0,VLOOKUP($A71&amp;"_"&amp;AJ$4,'2. หน้างบรายจ่าย'!$C:$K,9,0)))</f>
        <v>0</v>
      </c>
      <c r="AK71" s="249">
        <f>IF($C71="",0,IF(ISNA(VLOOKUP($A71&amp;"_"&amp;AK$4,'2. หน้างบรายจ่าย'!$C:$K,7,0)),0,VLOOKUP($A71&amp;"_"&amp;AK$4,'2. หน้างบรายจ่าย'!$C:$K,7,0)))</f>
        <v>0</v>
      </c>
      <c r="AL71" s="250">
        <f>IF($C71="",0,IF(ISNA(VLOOKUP($A71&amp;"_"&amp;AL$4,'2. หน้างบรายจ่าย'!$C:$K,8,0)),0,VLOOKUP($A71&amp;"_"&amp;AL$4,'2. หน้างบรายจ่าย'!$C:$K,8,0)))</f>
        <v>0</v>
      </c>
      <c r="AM71" s="248">
        <f>IF($C71="",0,IF(ISNA(VLOOKUP($A71&amp;"_"&amp;AM$4,'2. หน้างบรายจ่าย'!$C:$K,9,0)),0,VLOOKUP($A71&amp;"_"&amp;AM$4,'2. หน้างบรายจ่าย'!$C:$K,9,0)))</f>
        <v>0</v>
      </c>
      <c r="AP71" s="171" t="str">
        <f t="shared" si="25"/>
        <v>No</v>
      </c>
    </row>
    <row r="72" spans="1:42" ht="25.5" hidden="1" customHeight="1">
      <c r="A72" s="210">
        <v>43</v>
      </c>
      <c r="B72" s="244" t="str">
        <f>IF(ISNA(VLOOKUP(A72,'2. หน้างบรายจ่าย'!$A:$K,4,0)),"",TEXT(VLOOKUP(A72,'2. หน้างบรายจ่าย'!$A:$K,4,0),"dd ดดด yy"))</f>
        <v/>
      </c>
      <c r="C72" s="245" t="str">
        <f>IF(ISNA(VLOOKUP(A72,'2. หน้างบรายจ่าย'!$A:$K,8,0)),"",VLOOKUP(A72,'2. หน้างบรายจ่าย'!$A:$K,8,0))</f>
        <v/>
      </c>
      <c r="D72" s="231">
        <f t="shared" si="22"/>
        <v>0</v>
      </c>
      <c r="E72" s="232">
        <f t="shared" si="23"/>
        <v>0</v>
      </c>
      <c r="F72" s="231">
        <f t="shared" si="24"/>
        <v>0</v>
      </c>
      <c r="G72" s="247">
        <f>IF($C72="",0,IF(ISNA(VLOOKUP($A72&amp;"_"&amp;G$4,'2. หน้างบรายจ่าย'!$C:$K,7,0)),0,VLOOKUP($A72&amp;"_"&amp;G$4,'2. หน้างบรายจ่าย'!$C:$K,7,0)))</f>
        <v>0</v>
      </c>
      <c r="H72" s="247">
        <f>IF($C72="",0,IF(ISNA(VLOOKUP($A72&amp;"_"&amp;H$4,'2. หน้างบรายจ่าย'!$C:$K,8,0)),0,VLOOKUP($A72&amp;"_"&amp;H$4,'2. หน้างบรายจ่าย'!$C:$K,8,0)))</f>
        <v>0</v>
      </c>
      <c r="I72" s="247">
        <f>IF($C72="",0,IF(ISNA(VLOOKUP($A72&amp;"_"&amp;I$4,'2. หน้างบรายจ่าย'!$C:$K,9,0)),0,VLOOKUP($A72&amp;"_"&amp;I$4,'2. หน้างบรายจ่าย'!$C:$K,9,0)))</f>
        <v>0</v>
      </c>
      <c r="J72" s="247">
        <f>IF($C72="",0,IF(ISNA(VLOOKUP($A72&amp;"_"&amp;J$4,'2. หน้างบรายจ่าย'!$C:$K,7,0)),0,VLOOKUP($A72&amp;"_"&amp;J$4,'2. หน้างบรายจ่าย'!$C:$K,7,0)))</f>
        <v>0</v>
      </c>
      <c r="K72" s="247">
        <f>IF($C72="",0,IF(ISNA(VLOOKUP($A72&amp;"_"&amp;K$4,'2. หน้างบรายจ่าย'!$C:$K,8,0)),0,VLOOKUP($A72&amp;"_"&amp;K$4,'2. หน้างบรายจ่าย'!$C:$K,8,0)))</f>
        <v>0</v>
      </c>
      <c r="L72" s="247">
        <f>IF($C72="",0,IF(ISNA(VLOOKUP($A72&amp;"_"&amp;L$4,'2. หน้างบรายจ่าย'!$C:$K,9,0)),0,VLOOKUP($A72&amp;"_"&amp;L$4,'2. หน้างบรายจ่าย'!$C:$K,9,0)))</f>
        <v>0</v>
      </c>
      <c r="M72" s="247">
        <f>IF($C72="",0,IF(ISNA(VLOOKUP($A72&amp;"_"&amp;M$4,'2. หน้างบรายจ่าย'!$C:$K,7,0)),0,VLOOKUP($A72&amp;"_"&amp;M$4,'2. หน้างบรายจ่าย'!$C:$K,7,0)))</f>
        <v>0</v>
      </c>
      <c r="N72" s="247">
        <f>IF($C72="",0,IF(ISNA(VLOOKUP($A72&amp;"_"&amp;N$4,'2. หน้างบรายจ่าย'!$C:$K,8,0)),0,VLOOKUP($A72&amp;"_"&amp;N$4,'2. หน้างบรายจ่าย'!$C:$K,8,0)))</f>
        <v>0</v>
      </c>
      <c r="O72" s="248">
        <f>IF($C72="",0,IF(ISNA(VLOOKUP($A72&amp;"_"&amp;O$4,'2. หน้างบรายจ่าย'!$C:$K,9,0)),0,VLOOKUP($A72&amp;"_"&amp;O$4,'2. หน้างบรายจ่าย'!$C:$K,9,0)))</f>
        <v>0</v>
      </c>
      <c r="P72" s="246">
        <f>IF($C72="",0,IF(ISNA(VLOOKUP($A72&amp;"_"&amp;P$4,'2. หน้างบรายจ่าย'!$C:$K,7,0)),0,VLOOKUP($A72&amp;"_"&amp;P$4,'2. หน้างบรายจ่าย'!$C:$K,7,0)))</f>
        <v>0</v>
      </c>
      <c r="Q72" s="249">
        <f>IF($C72="",0,IF(ISNA(VLOOKUP($A72&amp;"_"&amp;Q$4,'2. หน้างบรายจ่าย'!$C:$K,8,0)),0,VLOOKUP($A72&amp;"_"&amp;Q$4,'2. หน้างบรายจ่าย'!$C:$K,8,0)))</f>
        <v>0</v>
      </c>
      <c r="R72" s="247">
        <f>IF($C72="",0,IF(ISNA(VLOOKUP($A72&amp;"_"&amp;R$4,'2. หน้างบรายจ่าย'!$C:$K,9,0)),0,VLOOKUP($A72&amp;"_"&amp;R$4,'2. หน้างบรายจ่าย'!$C:$K,9,0)))</f>
        <v>0</v>
      </c>
      <c r="S72" s="247">
        <f>IF($C72="",0,IF(ISNA(VLOOKUP($A72&amp;"_"&amp;S$4,'2. หน้างบรายจ่าย'!$C:$K,7,0)),0,VLOOKUP($A72&amp;"_"&amp;S$4,'2. หน้างบรายจ่าย'!$C:$K,7,0)))</f>
        <v>0</v>
      </c>
      <c r="T72" s="247">
        <f>IF($C72="",0,IF(ISNA(VLOOKUP($A72&amp;"_"&amp;T$4,'2. หน้างบรายจ่าย'!$C:$K,8,0)),0,VLOOKUP($A72&amp;"_"&amp;T$4,'2. หน้างบรายจ่าย'!$C:$K,8,0)))</f>
        <v>0</v>
      </c>
      <c r="U72" s="247">
        <f>IF($C72="",0,IF(ISNA(VLOOKUP($A72&amp;"_"&amp;U$4,'2. หน้างบรายจ่าย'!$C:$K,9,0)),0,VLOOKUP($A72&amp;"_"&amp;U$4,'2. หน้างบรายจ่าย'!$C:$K,9,0)))</f>
        <v>0</v>
      </c>
      <c r="V72" s="247">
        <f>IF($C72="",0,IF(ISNA(VLOOKUP($A72&amp;"_"&amp;V$4,'2. หน้างบรายจ่าย'!$C:$K,7,0)),0,VLOOKUP($A72&amp;"_"&amp;V$4,'2. หน้างบรายจ่าย'!$C:$K,7,0)))</f>
        <v>0</v>
      </c>
      <c r="W72" s="247">
        <f>IF($C72="",0,IF(ISNA(VLOOKUP($A72&amp;"_"&amp;W$4,'2. หน้างบรายจ่าย'!$C:$K,8,0)),0,VLOOKUP($A72&amp;"_"&amp;W$4,'2. หน้างบรายจ่าย'!$C:$K,8,0)))</f>
        <v>0</v>
      </c>
      <c r="X72" s="247">
        <f>IF($C72="",0,IF(ISNA(VLOOKUP($A72&amp;"_"&amp;X$4,'2. หน้างบรายจ่าย'!$C:$K,9,0)),0,VLOOKUP($A72&amp;"_"&amp;X$4,'2. หน้างบรายจ่าย'!$C:$K,9,0)))</f>
        <v>0</v>
      </c>
      <c r="Y72" s="247">
        <f>IF($C72="",0,IF(ISNA(VLOOKUP($A72&amp;"_"&amp;Y$4,'2. หน้างบรายจ่าย'!$C:$K,7,0)),0,VLOOKUP($A72&amp;"_"&amp;Y$4,'2. หน้างบรายจ่าย'!$C:$K,7,0)))</f>
        <v>0</v>
      </c>
      <c r="Z72" s="247">
        <f>IF($C72="",0,IF(ISNA(VLOOKUP($A72&amp;"_"&amp;Z$4,'2. หน้างบรายจ่าย'!$C:$K,8,0)),0,VLOOKUP($A72&amp;"_"&amp;Z$4,'2. หน้างบรายจ่าย'!$C:$K,8,0)))</f>
        <v>0</v>
      </c>
      <c r="AA72" s="247">
        <f>IF($C72="",0,IF(ISNA(VLOOKUP($A72&amp;"_"&amp;AA$4,'2. หน้างบรายจ่าย'!$C:$K,9,0)),0,VLOOKUP($A72&amp;"_"&amp;AA$4,'2. หน้างบรายจ่าย'!$C:$K,9,0)))</f>
        <v>0</v>
      </c>
      <c r="AB72" s="247">
        <f>IF($C72="",0,IF(ISNA(VLOOKUP($A72&amp;"_"&amp;AB$4,'2. หน้างบรายจ่าย'!$C:$K,7,0)),0,VLOOKUP($A72&amp;"_"&amp;AB$4,'2. หน้างบรายจ่าย'!$C:$K,7,0)))</f>
        <v>0</v>
      </c>
      <c r="AC72" s="251">
        <f>IF($C72="",0,IF(ISNA(VLOOKUP($A72&amp;"_"&amp;AC$4,'2. หน้างบรายจ่าย'!$C:$K,8,0)),0,VLOOKUP($A72&amp;"_"&amp;AC$4,'2. หน้างบรายจ่าย'!$C:$K,8,0)))</f>
        <v>0</v>
      </c>
      <c r="AD72" s="248">
        <f>IF($C72="",0,IF(ISNA(VLOOKUP($A72&amp;"_"&amp;AD$4,'2. หน้างบรายจ่าย'!$C:$K,9,0)),0,VLOOKUP($A72&amp;"_"&amp;AD$4,'2. หน้างบรายจ่าย'!$C:$K,9,0)))</f>
        <v>0</v>
      </c>
      <c r="AE72" s="246">
        <f>IF($C72="",0,IF(ISNA(VLOOKUP($A72&amp;"_"&amp;AE$4,'2. หน้างบรายจ่าย'!$C:$K,7,0)),0,VLOOKUP($A72&amp;"_"&amp;AE$4,'2. หน้างบรายจ่าย'!$C:$K,7,0)))</f>
        <v>0</v>
      </c>
      <c r="AF72" s="250">
        <f>IF($C72="",0,IF(ISNA(VLOOKUP($A72&amp;"_"&amp;AF$4,'2. หน้างบรายจ่าย'!$C:$K,8,0)),0,VLOOKUP($A72&amp;"_"&amp;AF$4,'2. หน้างบรายจ่าย'!$C:$K,8,0)))</f>
        <v>0</v>
      </c>
      <c r="AG72" s="248">
        <f>IF($C72="",0,IF(ISNA(VLOOKUP($A72&amp;"_"&amp;AG$4,'2. หน้างบรายจ่าย'!$C:$K,9,0)),0,VLOOKUP($A72&amp;"_"&amp;AG$4,'2. หน้างบรายจ่าย'!$C:$K,9,0)))</f>
        <v>0</v>
      </c>
      <c r="AH72" s="249">
        <f>IF($C72="",0,IF(ISNA(VLOOKUP($A72&amp;"_"&amp;AH$4,'2. หน้างบรายจ่าย'!$C:$K,7,0)),0,VLOOKUP($A72&amp;"_"&amp;AH$4,'2. หน้างบรายจ่าย'!$C:$K,7,0)))</f>
        <v>0</v>
      </c>
      <c r="AI72" s="250">
        <f>IF($C72="",0,IF(ISNA(VLOOKUP($A72&amp;"_"&amp;AI$4,'2. หน้างบรายจ่าย'!$C:$K,8,0)),0,VLOOKUP($A72&amp;"_"&amp;AI$4,'2. หน้างบรายจ่าย'!$C:$K,8,0)))</f>
        <v>0</v>
      </c>
      <c r="AJ72" s="248">
        <f>IF($C72="",0,IF(ISNA(VLOOKUP($A72&amp;"_"&amp;AJ$4,'2. หน้างบรายจ่าย'!$C:$K,9,0)),0,VLOOKUP($A72&amp;"_"&amp;AJ$4,'2. หน้างบรายจ่าย'!$C:$K,9,0)))</f>
        <v>0</v>
      </c>
      <c r="AK72" s="249">
        <f>IF($C72="",0,IF(ISNA(VLOOKUP($A72&amp;"_"&amp;AK$4,'2. หน้างบรายจ่าย'!$C:$K,7,0)),0,VLOOKUP($A72&amp;"_"&amp;AK$4,'2. หน้างบรายจ่าย'!$C:$K,7,0)))</f>
        <v>0</v>
      </c>
      <c r="AL72" s="250">
        <f>IF($C72="",0,IF(ISNA(VLOOKUP($A72&amp;"_"&amp;AL$4,'2. หน้างบรายจ่าย'!$C:$K,8,0)),0,VLOOKUP($A72&amp;"_"&amp;AL$4,'2. หน้างบรายจ่าย'!$C:$K,8,0)))</f>
        <v>0</v>
      </c>
      <c r="AM72" s="248">
        <f>IF($C72="",0,IF(ISNA(VLOOKUP($A72&amp;"_"&amp;AM$4,'2. หน้างบรายจ่าย'!$C:$K,9,0)),0,VLOOKUP($A72&amp;"_"&amp;AM$4,'2. หน้างบรายจ่าย'!$C:$K,9,0)))</f>
        <v>0</v>
      </c>
      <c r="AP72" s="171" t="str">
        <f t="shared" si="25"/>
        <v>No</v>
      </c>
    </row>
    <row r="73" spans="1:42" ht="25.5" hidden="1" customHeight="1">
      <c r="A73" s="210">
        <v>44</v>
      </c>
      <c r="B73" s="244" t="str">
        <f>IF(ISNA(VLOOKUP(A73,'2. หน้างบรายจ่าย'!$A:$K,4,0)),"",TEXT(VLOOKUP(A73,'2. หน้างบรายจ่าย'!$A:$K,4,0),"dd ดดด yy"))</f>
        <v/>
      </c>
      <c r="C73" s="245" t="str">
        <f>IF(ISNA(VLOOKUP(A73,'2. หน้างบรายจ่าย'!$A:$K,8,0)),"",VLOOKUP(A73,'2. หน้างบรายจ่าย'!$A:$K,8,0))</f>
        <v/>
      </c>
      <c r="D73" s="231">
        <f t="shared" si="22"/>
        <v>0</v>
      </c>
      <c r="E73" s="232">
        <f t="shared" si="23"/>
        <v>0</v>
      </c>
      <c r="F73" s="231">
        <f t="shared" si="24"/>
        <v>0</v>
      </c>
      <c r="G73" s="247">
        <f>IF($C73="",0,IF(ISNA(VLOOKUP($A73&amp;"_"&amp;G$4,'2. หน้างบรายจ่าย'!$C:$K,7,0)),0,VLOOKUP($A73&amp;"_"&amp;G$4,'2. หน้างบรายจ่าย'!$C:$K,7,0)))</f>
        <v>0</v>
      </c>
      <c r="H73" s="247">
        <f>IF($C73="",0,IF(ISNA(VLOOKUP($A73&amp;"_"&amp;H$4,'2. หน้างบรายจ่าย'!$C:$K,8,0)),0,VLOOKUP($A73&amp;"_"&amp;H$4,'2. หน้างบรายจ่าย'!$C:$K,8,0)))</f>
        <v>0</v>
      </c>
      <c r="I73" s="247">
        <f>IF($C73="",0,IF(ISNA(VLOOKUP($A73&amp;"_"&amp;I$4,'2. หน้างบรายจ่าย'!$C:$K,9,0)),0,VLOOKUP($A73&amp;"_"&amp;I$4,'2. หน้างบรายจ่าย'!$C:$K,9,0)))</f>
        <v>0</v>
      </c>
      <c r="J73" s="247">
        <f>IF($C73="",0,IF(ISNA(VLOOKUP($A73&amp;"_"&amp;J$4,'2. หน้างบรายจ่าย'!$C:$K,7,0)),0,VLOOKUP($A73&amp;"_"&amp;J$4,'2. หน้างบรายจ่าย'!$C:$K,7,0)))</f>
        <v>0</v>
      </c>
      <c r="K73" s="247">
        <f>IF($C73="",0,IF(ISNA(VLOOKUP($A73&amp;"_"&amp;K$4,'2. หน้างบรายจ่าย'!$C:$K,8,0)),0,VLOOKUP($A73&amp;"_"&amp;K$4,'2. หน้างบรายจ่าย'!$C:$K,8,0)))</f>
        <v>0</v>
      </c>
      <c r="L73" s="247">
        <f>IF($C73="",0,IF(ISNA(VLOOKUP($A73&amp;"_"&amp;L$4,'2. หน้างบรายจ่าย'!$C:$K,9,0)),0,VLOOKUP($A73&amp;"_"&amp;L$4,'2. หน้างบรายจ่าย'!$C:$K,9,0)))</f>
        <v>0</v>
      </c>
      <c r="M73" s="247">
        <f>IF($C73="",0,IF(ISNA(VLOOKUP($A73&amp;"_"&amp;M$4,'2. หน้างบรายจ่าย'!$C:$K,7,0)),0,VLOOKUP($A73&amp;"_"&amp;M$4,'2. หน้างบรายจ่าย'!$C:$K,7,0)))</f>
        <v>0</v>
      </c>
      <c r="N73" s="247">
        <f>IF($C73="",0,IF(ISNA(VLOOKUP($A73&amp;"_"&amp;N$4,'2. หน้างบรายจ่าย'!$C:$K,8,0)),0,VLOOKUP($A73&amp;"_"&amp;N$4,'2. หน้างบรายจ่าย'!$C:$K,8,0)))</f>
        <v>0</v>
      </c>
      <c r="O73" s="248">
        <f>IF($C73="",0,IF(ISNA(VLOOKUP($A73&amp;"_"&amp;O$4,'2. หน้างบรายจ่าย'!$C:$K,9,0)),0,VLOOKUP($A73&amp;"_"&amp;O$4,'2. หน้างบรายจ่าย'!$C:$K,9,0)))</f>
        <v>0</v>
      </c>
      <c r="P73" s="246">
        <f>IF($C73="",0,IF(ISNA(VLOOKUP($A73&amp;"_"&amp;P$4,'2. หน้างบรายจ่าย'!$C:$K,7,0)),0,VLOOKUP($A73&amp;"_"&amp;P$4,'2. หน้างบรายจ่าย'!$C:$K,7,0)))</f>
        <v>0</v>
      </c>
      <c r="Q73" s="249">
        <f>IF($C73="",0,IF(ISNA(VLOOKUP($A73&amp;"_"&amp;Q$4,'2. หน้างบรายจ่าย'!$C:$K,8,0)),0,VLOOKUP($A73&amp;"_"&amp;Q$4,'2. หน้างบรายจ่าย'!$C:$K,8,0)))</f>
        <v>0</v>
      </c>
      <c r="R73" s="247">
        <f>IF($C73="",0,IF(ISNA(VLOOKUP($A73&amp;"_"&amp;R$4,'2. หน้างบรายจ่าย'!$C:$K,9,0)),0,VLOOKUP($A73&amp;"_"&amp;R$4,'2. หน้างบรายจ่าย'!$C:$K,9,0)))</f>
        <v>0</v>
      </c>
      <c r="S73" s="247">
        <f>IF($C73="",0,IF(ISNA(VLOOKUP($A73&amp;"_"&amp;S$4,'2. หน้างบรายจ่าย'!$C:$K,7,0)),0,VLOOKUP($A73&amp;"_"&amp;S$4,'2. หน้างบรายจ่าย'!$C:$K,7,0)))</f>
        <v>0</v>
      </c>
      <c r="T73" s="247">
        <f>IF($C73="",0,IF(ISNA(VLOOKUP($A73&amp;"_"&amp;T$4,'2. หน้างบรายจ่าย'!$C:$K,8,0)),0,VLOOKUP($A73&amp;"_"&amp;T$4,'2. หน้างบรายจ่าย'!$C:$K,8,0)))</f>
        <v>0</v>
      </c>
      <c r="U73" s="247">
        <f>IF($C73="",0,IF(ISNA(VLOOKUP($A73&amp;"_"&amp;U$4,'2. หน้างบรายจ่าย'!$C:$K,9,0)),0,VLOOKUP($A73&amp;"_"&amp;U$4,'2. หน้างบรายจ่าย'!$C:$K,9,0)))</f>
        <v>0</v>
      </c>
      <c r="V73" s="247">
        <f>IF($C73="",0,IF(ISNA(VLOOKUP($A73&amp;"_"&amp;V$4,'2. หน้างบรายจ่าย'!$C:$K,7,0)),0,VLOOKUP($A73&amp;"_"&amp;V$4,'2. หน้างบรายจ่าย'!$C:$K,7,0)))</f>
        <v>0</v>
      </c>
      <c r="W73" s="247">
        <f>IF($C73="",0,IF(ISNA(VLOOKUP($A73&amp;"_"&amp;W$4,'2. หน้างบรายจ่าย'!$C:$K,8,0)),0,VLOOKUP($A73&amp;"_"&amp;W$4,'2. หน้างบรายจ่าย'!$C:$K,8,0)))</f>
        <v>0</v>
      </c>
      <c r="X73" s="247">
        <f>IF($C73="",0,IF(ISNA(VLOOKUP($A73&amp;"_"&amp;X$4,'2. หน้างบรายจ่าย'!$C:$K,9,0)),0,VLOOKUP($A73&amp;"_"&amp;X$4,'2. หน้างบรายจ่าย'!$C:$K,9,0)))</f>
        <v>0</v>
      </c>
      <c r="Y73" s="247">
        <f>IF($C73="",0,IF(ISNA(VLOOKUP($A73&amp;"_"&amp;Y$4,'2. หน้างบรายจ่าย'!$C:$K,7,0)),0,VLOOKUP($A73&amp;"_"&amp;Y$4,'2. หน้างบรายจ่าย'!$C:$K,7,0)))</f>
        <v>0</v>
      </c>
      <c r="Z73" s="247">
        <f>IF($C73="",0,IF(ISNA(VLOOKUP($A73&amp;"_"&amp;Z$4,'2. หน้างบรายจ่าย'!$C:$K,8,0)),0,VLOOKUP($A73&amp;"_"&amp;Z$4,'2. หน้างบรายจ่าย'!$C:$K,8,0)))</f>
        <v>0</v>
      </c>
      <c r="AA73" s="247">
        <f>IF($C73="",0,IF(ISNA(VLOOKUP($A73&amp;"_"&amp;AA$4,'2. หน้างบรายจ่าย'!$C:$K,9,0)),0,VLOOKUP($A73&amp;"_"&amp;AA$4,'2. หน้างบรายจ่าย'!$C:$K,9,0)))</f>
        <v>0</v>
      </c>
      <c r="AB73" s="247">
        <f>IF($C73="",0,IF(ISNA(VLOOKUP($A73&amp;"_"&amp;AB$4,'2. หน้างบรายจ่าย'!$C:$K,7,0)),0,VLOOKUP($A73&amp;"_"&amp;AB$4,'2. หน้างบรายจ่าย'!$C:$K,7,0)))</f>
        <v>0</v>
      </c>
      <c r="AC73" s="251">
        <f>IF($C73="",0,IF(ISNA(VLOOKUP($A73&amp;"_"&amp;AC$4,'2. หน้างบรายจ่าย'!$C:$K,8,0)),0,VLOOKUP($A73&amp;"_"&amp;AC$4,'2. หน้างบรายจ่าย'!$C:$K,8,0)))</f>
        <v>0</v>
      </c>
      <c r="AD73" s="248">
        <f>IF($C73="",0,IF(ISNA(VLOOKUP($A73&amp;"_"&amp;AD$4,'2. หน้างบรายจ่าย'!$C:$K,9,0)),0,VLOOKUP($A73&amp;"_"&amp;AD$4,'2. หน้างบรายจ่าย'!$C:$K,9,0)))</f>
        <v>0</v>
      </c>
      <c r="AE73" s="246">
        <f>IF($C73="",0,IF(ISNA(VLOOKUP($A73&amp;"_"&amp;AE$4,'2. หน้างบรายจ่าย'!$C:$K,7,0)),0,VLOOKUP($A73&amp;"_"&amp;AE$4,'2. หน้างบรายจ่าย'!$C:$K,7,0)))</f>
        <v>0</v>
      </c>
      <c r="AF73" s="250">
        <f>IF($C73="",0,IF(ISNA(VLOOKUP($A73&amp;"_"&amp;AF$4,'2. หน้างบรายจ่าย'!$C:$K,8,0)),0,VLOOKUP($A73&amp;"_"&amp;AF$4,'2. หน้างบรายจ่าย'!$C:$K,8,0)))</f>
        <v>0</v>
      </c>
      <c r="AG73" s="248">
        <f>IF($C73="",0,IF(ISNA(VLOOKUP($A73&amp;"_"&amp;AG$4,'2. หน้างบรายจ่าย'!$C:$K,9,0)),0,VLOOKUP($A73&amp;"_"&amp;AG$4,'2. หน้างบรายจ่าย'!$C:$K,9,0)))</f>
        <v>0</v>
      </c>
      <c r="AH73" s="249">
        <f>IF($C73="",0,IF(ISNA(VLOOKUP($A73&amp;"_"&amp;AH$4,'2. หน้างบรายจ่าย'!$C:$K,7,0)),0,VLOOKUP($A73&amp;"_"&amp;AH$4,'2. หน้างบรายจ่าย'!$C:$K,7,0)))</f>
        <v>0</v>
      </c>
      <c r="AI73" s="250">
        <f>IF($C73="",0,IF(ISNA(VLOOKUP($A73&amp;"_"&amp;AI$4,'2. หน้างบรายจ่าย'!$C:$K,8,0)),0,VLOOKUP($A73&amp;"_"&amp;AI$4,'2. หน้างบรายจ่าย'!$C:$K,8,0)))</f>
        <v>0</v>
      </c>
      <c r="AJ73" s="248">
        <f>IF($C73="",0,IF(ISNA(VLOOKUP($A73&amp;"_"&amp;AJ$4,'2. หน้างบรายจ่าย'!$C:$K,9,0)),0,VLOOKUP($A73&amp;"_"&amp;AJ$4,'2. หน้างบรายจ่าย'!$C:$K,9,0)))</f>
        <v>0</v>
      </c>
      <c r="AK73" s="249">
        <f>IF($C73="",0,IF(ISNA(VLOOKUP($A73&amp;"_"&amp;AK$4,'2. หน้างบรายจ่าย'!$C:$K,7,0)),0,VLOOKUP($A73&amp;"_"&amp;AK$4,'2. หน้างบรายจ่าย'!$C:$K,7,0)))</f>
        <v>0</v>
      </c>
      <c r="AL73" s="250">
        <f>IF($C73="",0,IF(ISNA(VLOOKUP($A73&amp;"_"&amp;AL$4,'2. หน้างบรายจ่าย'!$C:$K,8,0)),0,VLOOKUP($A73&amp;"_"&amp;AL$4,'2. หน้างบรายจ่าย'!$C:$K,8,0)))</f>
        <v>0</v>
      </c>
      <c r="AM73" s="248">
        <f>IF($C73="",0,IF(ISNA(VLOOKUP($A73&amp;"_"&amp;AM$4,'2. หน้างบรายจ่าย'!$C:$K,9,0)),0,VLOOKUP($A73&amp;"_"&amp;AM$4,'2. หน้างบรายจ่าย'!$C:$K,9,0)))</f>
        <v>0</v>
      </c>
      <c r="AP73" s="171" t="str">
        <f t="shared" si="25"/>
        <v>No</v>
      </c>
    </row>
    <row r="74" spans="1:42" ht="25.5" hidden="1" customHeight="1">
      <c r="A74" s="210">
        <v>45</v>
      </c>
      <c r="B74" s="244" t="str">
        <f>IF(ISNA(VLOOKUP(A74,'2. หน้างบรายจ่าย'!$A:$K,4,0)),"",TEXT(VLOOKUP(A74,'2. หน้างบรายจ่าย'!$A:$K,4,0),"dd ดดด yy"))</f>
        <v/>
      </c>
      <c r="C74" s="245" t="str">
        <f>IF(ISNA(VLOOKUP(A74,'2. หน้างบรายจ่าย'!$A:$K,8,0)),"",VLOOKUP(A74,'2. หน้างบรายจ่าย'!$A:$K,8,0))</f>
        <v/>
      </c>
      <c r="D74" s="231">
        <f t="shared" si="22"/>
        <v>0</v>
      </c>
      <c r="E74" s="232">
        <f t="shared" si="23"/>
        <v>0</v>
      </c>
      <c r="F74" s="231">
        <f t="shared" si="24"/>
        <v>0</v>
      </c>
      <c r="G74" s="247">
        <f>IF($C74="",0,IF(ISNA(VLOOKUP($A74&amp;"_"&amp;G$4,'2. หน้างบรายจ่าย'!$C:$K,7,0)),0,VLOOKUP($A74&amp;"_"&amp;G$4,'2. หน้างบรายจ่าย'!$C:$K,7,0)))</f>
        <v>0</v>
      </c>
      <c r="H74" s="247">
        <f>IF($C74="",0,IF(ISNA(VLOOKUP($A74&amp;"_"&amp;H$4,'2. หน้างบรายจ่าย'!$C:$K,8,0)),0,VLOOKUP($A74&amp;"_"&amp;H$4,'2. หน้างบรายจ่าย'!$C:$K,8,0)))</f>
        <v>0</v>
      </c>
      <c r="I74" s="247">
        <f>IF($C74="",0,IF(ISNA(VLOOKUP($A74&amp;"_"&amp;I$4,'2. หน้างบรายจ่าย'!$C:$K,9,0)),0,VLOOKUP($A74&amp;"_"&amp;I$4,'2. หน้างบรายจ่าย'!$C:$K,9,0)))</f>
        <v>0</v>
      </c>
      <c r="J74" s="247">
        <f>IF($C74="",0,IF(ISNA(VLOOKUP($A74&amp;"_"&amp;J$4,'2. หน้างบรายจ่าย'!$C:$K,7,0)),0,VLOOKUP($A74&amp;"_"&amp;J$4,'2. หน้างบรายจ่าย'!$C:$K,7,0)))</f>
        <v>0</v>
      </c>
      <c r="K74" s="247">
        <f>IF($C74="",0,IF(ISNA(VLOOKUP($A74&amp;"_"&amp;K$4,'2. หน้างบรายจ่าย'!$C:$K,8,0)),0,VLOOKUP($A74&amp;"_"&amp;K$4,'2. หน้างบรายจ่าย'!$C:$K,8,0)))</f>
        <v>0</v>
      </c>
      <c r="L74" s="247">
        <f>IF($C74="",0,IF(ISNA(VLOOKUP($A74&amp;"_"&amp;L$4,'2. หน้างบรายจ่าย'!$C:$K,9,0)),0,VLOOKUP($A74&amp;"_"&amp;L$4,'2. หน้างบรายจ่าย'!$C:$K,9,0)))</f>
        <v>0</v>
      </c>
      <c r="M74" s="247">
        <f>IF($C74="",0,IF(ISNA(VLOOKUP($A74&amp;"_"&amp;M$4,'2. หน้างบรายจ่าย'!$C:$K,7,0)),0,VLOOKUP($A74&amp;"_"&amp;M$4,'2. หน้างบรายจ่าย'!$C:$K,7,0)))</f>
        <v>0</v>
      </c>
      <c r="N74" s="247">
        <f>IF($C74="",0,IF(ISNA(VLOOKUP($A74&amp;"_"&amp;N$4,'2. หน้างบรายจ่าย'!$C:$K,8,0)),0,VLOOKUP($A74&amp;"_"&amp;N$4,'2. หน้างบรายจ่าย'!$C:$K,8,0)))</f>
        <v>0</v>
      </c>
      <c r="O74" s="248">
        <f>IF($C74="",0,IF(ISNA(VLOOKUP($A74&amp;"_"&amp;O$4,'2. หน้างบรายจ่าย'!$C:$K,9,0)),0,VLOOKUP($A74&amp;"_"&amp;O$4,'2. หน้างบรายจ่าย'!$C:$K,9,0)))</f>
        <v>0</v>
      </c>
      <c r="P74" s="246">
        <f>IF($C74="",0,IF(ISNA(VLOOKUP($A74&amp;"_"&amp;P$4,'2. หน้างบรายจ่าย'!$C:$K,7,0)),0,VLOOKUP($A74&amp;"_"&amp;P$4,'2. หน้างบรายจ่าย'!$C:$K,7,0)))</f>
        <v>0</v>
      </c>
      <c r="Q74" s="249">
        <f>IF($C74="",0,IF(ISNA(VLOOKUP($A74&amp;"_"&amp;Q$4,'2. หน้างบรายจ่าย'!$C:$K,8,0)),0,VLOOKUP($A74&amp;"_"&amp;Q$4,'2. หน้างบรายจ่าย'!$C:$K,8,0)))</f>
        <v>0</v>
      </c>
      <c r="R74" s="247">
        <f>IF($C74="",0,IF(ISNA(VLOOKUP($A74&amp;"_"&amp;R$4,'2. หน้างบรายจ่าย'!$C:$K,9,0)),0,VLOOKUP($A74&amp;"_"&amp;R$4,'2. หน้างบรายจ่าย'!$C:$K,9,0)))</f>
        <v>0</v>
      </c>
      <c r="S74" s="247">
        <f>IF($C74="",0,IF(ISNA(VLOOKUP($A74&amp;"_"&amp;S$4,'2. หน้างบรายจ่าย'!$C:$K,7,0)),0,VLOOKUP($A74&amp;"_"&amp;S$4,'2. หน้างบรายจ่าย'!$C:$K,7,0)))</f>
        <v>0</v>
      </c>
      <c r="T74" s="247">
        <f>IF($C74="",0,IF(ISNA(VLOOKUP($A74&amp;"_"&amp;T$4,'2. หน้างบรายจ่าย'!$C:$K,8,0)),0,VLOOKUP($A74&amp;"_"&amp;T$4,'2. หน้างบรายจ่าย'!$C:$K,8,0)))</f>
        <v>0</v>
      </c>
      <c r="U74" s="247">
        <f>IF($C74="",0,IF(ISNA(VLOOKUP($A74&amp;"_"&amp;U$4,'2. หน้างบรายจ่าย'!$C:$K,9,0)),0,VLOOKUP($A74&amp;"_"&amp;U$4,'2. หน้างบรายจ่าย'!$C:$K,9,0)))</f>
        <v>0</v>
      </c>
      <c r="V74" s="247">
        <f>IF($C74="",0,IF(ISNA(VLOOKUP($A74&amp;"_"&amp;V$4,'2. หน้างบรายจ่าย'!$C:$K,7,0)),0,VLOOKUP($A74&amp;"_"&amp;V$4,'2. หน้างบรายจ่าย'!$C:$K,7,0)))</f>
        <v>0</v>
      </c>
      <c r="W74" s="247">
        <f>IF($C74="",0,IF(ISNA(VLOOKUP($A74&amp;"_"&amp;W$4,'2. หน้างบรายจ่าย'!$C:$K,8,0)),0,VLOOKUP($A74&amp;"_"&amp;W$4,'2. หน้างบรายจ่าย'!$C:$K,8,0)))</f>
        <v>0</v>
      </c>
      <c r="X74" s="247">
        <f>IF($C74="",0,IF(ISNA(VLOOKUP($A74&amp;"_"&amp;X$4,'2. หน้างบรายจ่าย'!$C:$K,9,0)),0,VLOOKUP($A74&amp;"_"&amp;X$4,'2. หน้างบรายจ่าย'!$C:$K,9,0)))</f>
        <v>0</v>
      </c>
      <c r="Y74" s="247">
        <f>IF($C74="",0,IF(ISNA(VLOOKUP($A74&amp;"_"&amp;Y$4,'2. หน้างบรายจ่าย'!$C:$K,7,0)),0,VLOOKUP($A74&amp;"_"&amp;Y$4,'2. หน้างบรายจ่าย'!$C:$K,7,0)))</f>
        <v>0</v>
      </c>
      <c r="Z74" s="247">
        <f>IF($C74="",0,IF(ISNA(VLOOKUP($A74&amp;"_"&amp;Z$4,'2. หน้างบรายจ่าย'!$C:$K,8,0)),0,VLOOKUP($A74&amp;"_"&amp;Z$4,'2. หน้างบรายจ่าย'!$C:$K,8,0)))</f>
        <v>0</v>
      </c>
      <c r="AA74" s="247">
        <f>IF($C74="",0,IF(ISNA(VLOOKUP($A74&amp;"_"&amp;AA$4,'2. หน้างบรายจ่าย'!$C:$K,9,0)),0,VLOOKUP($A74&amp;"_"&amp;AA$4,'2. หน้างบรายจ่าย'!$C:$K,9,0)))</f>
        <v>0</v>
      </c>
      <c r="AB74" s="247">
        <f>IF($C74="",0,IF(ISNA(VLOOKUP($A74&amp;"_"&amp;AB$4,'2. หน้างบรายจ่าย'!$C:$K,7,0)),0,VLOOKUP($A74&amp;"_"&amp;AB$4,'2. หน้างบรายจ่าย'!$C:$K,7,0)))</f>
        <v>0</v>
      </c>
      <c r="AC74" s="251">
        <f>IF($C74="",0,IF(ISNA(VLOOKUP($A74&amp;"_"&amp;AC$4,'2. หน้างบรายจ่าย'!$C:$K,8,0)),0,VLOOKUP($A74&amp;"_"&amp;AC$4,'2. หน้างบรายจ่าย'!$C:$K,8,0)))</f>
        <v>0</v>
      </c>
      <c r="AD74" s="248">
        <f>IF($C74="",0,IF(ISNA(VLOOKUP($A74&amp;"_"&amp;AD$4,'2. หน้างบรายจ่าย'!$C:$K,9,0)),0,VLOOKUP($A74&amp;"_"&amp;AD$4,'2. หน้างบรายจ่าย'!$C:$K,9,0)))</f>
        <v>0</v>
      </c>
      <c r="AE74" s="246">
        <f>IF($C74="",0,IF(ISNA(VLOOKUP($A74&amp;"_"&amp;AE$4,'2. หน้างบรายจ่าย'!$C:$K,7,0)),0,VLOOKUP($A74&amp;"_"&amp;AE$4,'2. หน้างบรายจ่าย'!$C:$K,7,0)))</f>
        <v>0</v>
      </c>
      <c r="AF74" s="250">
        <f>IF($C74="",0,IF(ISNA(VLOOKUP($A74&amp;"_"&amp;AF$4,'2. หน้างบรายจ่าย'!$C:$K,8,0)),0,VLOOKUP($A74&amp;"_"&amp;AF$4,'2. หน้างบรายจ่าย'!$C:$K,8,0)))</f>
        <v>0</v>
      </c>
      <c r="AG74" s="248">
        <f>IF($C74="",0,IF(ISNA(VLOOKUP($A74&amp;"_"&amp;AG$4,'2. หน้างบรายจ่าย'!$C:$K,9,0)),0,VLOOKUP($A74&amp;"_"&amp;AG$4,'2. หน้างบรายจ่าย'!$C:$K,9,0)))</f>
        <v>0</v>
      </c>
      <c r="AH74" s="249">
        <f>IF($C74="",0,IF(ISNA(VLOOKUP($A74&amp;"_"&amp;AH$4,'2. หน้างบรายจ่าย'!$C:$K,7,0)),0,VLOOKUP($A74&amp;"_"&amp;AH$4,'2. หน้างบรายจ่าย'!$C:$K,7,0)))</f>
        <v>0</v>
      </c>
      <c r="AI74" s="250">
        <f>IF($C74="",0,IF(ISNA(VLOOKUP($A74&amp;"_"&amp;AI$4,'2. หน้างบรายจ่าย'!$C:$K,8,0)),0,VLOOKUP($A74&amp;"_"&amp;AI$4,'2. หน้างบรายจ่าย'!$C:$K,8,0)))</f>
        <v>0</v>
      </c>
      <c r="AJ74" s="248">
        <f>IF($C74="",0,IF(ISNA(VLOOKUP($A74&amp;"_"&amp;AJ$4,'2. หน้างบรายจ่าย'!$C:$K,9,0)),0,VLOOKUP($A74&amp;"_"&amp;AJ$4,'2. หน้างบรายจ่าย'!$C:$K,9,0)))</f>
        <v>0</v>
      </c>
      <c r="AK74" s="249">
        <f>IF($C74="",0,IF(ISNA(VLOOKUP($A74&amp;"_"&amp;AK$4,'2. หน้างบรายจ่าย'!$C:$K,7,0)),0,VLOOKUP($A74&amp;"_"&amp;AK$4,'2. หน้างบรายจ่าย'!$C:$K,7,0)))</f>
        <v>0</v>
      </c>
      <c r="AL74" s="250">
        <f>IF($C74="",0,IF(ISNA(VLOOKUP($A74&amp;"_"&amp;AL$4,'2. หน้างบรายจ่าย'!$C:$K,8,0)),0,VLOOKUP($A74&amp;"_"&amp;AL$4,'2. หน้างบรายจ่าย'!$C:$K,8,0)))</f>
        <v>0</v>
      </c>
      <c r="AM74" s="248">
        <f>IF($C74="",0,IF(ISNA(VLOOKUP($A74&amp;"_"&amp;AM$4,'2. หน้างบรายจ่าย'!$C:$K,9,0)),0,VLOOKUP($A74&amp;"_"&amp;AM$4,'2. หน้างบรายจ่าย'!$C:$K,9,0)))</f>
        <v>0</v>
      </c>
      <c r="AP74" s="171" t="str">
        <f t="shared" si="25"/>
        <v>No</v>
      </c>
    </row>
    <row r="75" spans="1:42" ht="25.5" hidden="1" customHeight="1">
      <c r="A75" s="210">
        <v>46</v>
      </c>
      <c r="B75" s="244" t="str">
        <f>IF(ISNA(VLOOKUP(A75,'2. หน้างบรายจ่าย'!$A:$K,4,0)),"",TEXT(VLOOKUP(A75,'2. หน้างบรายจ่าย'!$A:$K,4,0),"dd ดดด yy"))</f>
        <v/>
      </c>
      <c r="C75" s="245" t="str">
        <f>IF(ISNA(VLOOKUP(A75,'2. หน้างบรายจ่าย'!$A:$K,8,0)),"",VLOOKUP(A75,'2. หน้างบรายจ่าย'!$A:$K,8,0))</f>
        <v/>
      </c>
      <c r="D75" s="231">
        <f t="shared" si="22"/>
        <v>0</v>
      </c>
      <c r="E75" s="232">
        <f t="shared" si="23"/>
        <v>0</v>
      </c>
      <c r="F75" s="231">
        <f t="shared" si="24"/>
        <v>0</v>
      </c>
      <c r="G75" s="247">
        <f>IF($C75="",0,IF(ISNA(VLOOKUP($A75&amp;"_"&amp;G$4,'2. หน้างบรายจ่าย'!$C:$K,7,0)),0,VLOOKUP($A75&amp;"_"&amp;G$4,'2. หน้างบรายจ่าย'!$C:$K,7,0)))</f>
        <v>0</v>
      </c>
      <c r="H75" s="247">
        <f>IF($C75="",0,IF(ISNA(VLOOKUP($A75&amp;"_"&amp;H$4,'2. หน้างบรายจ่าย'!$C:$K,8,0)),0,VLOOKUP($A75&amp;"_"&amp;H$4,'2. หน้างบรายจ่าย'!$C:$K,8,0)))</f>
        <v>0</v>
      </c>
      <c r="I75" s="247">
        <f>IF($C75="",0,IF(ISNA(VLOOKUP($A75&amp;"_"&amp;I$4,'2. หน้างบรายจ่าย'!$C:$K,9,0)),0,VLOOKUP($A75&amp;"_"&amp;I$4,'2. หน้างบรายจ่าย'!$C:$K,9,0)))</f>
        <v>0</v>
      </c>
      <c r="J75" s="247">
        <f>IF($C75="",0,IF(ISNA(VLOOKUP($A75&amp;"_"&amp;J$4,'2. หน้างบรายจ่าย'!$C:$K,7,0)),0,VLOOKUP($A75&amp;"_"&amp;J$4,'2. หน้างบรายจ่าย'!$C:$K,7,0)))</f>
        <v>0</v>
      </c>
      <c r="K75" s="247">
        <f>IF($C75="",0,IF(ISNA(VLOOKUP($A75&amp;"_"&amp;K$4,'2. หน้างบรายจ่าย'!$C:$K,8,0)),0,VLOOKUP($A75&amp;"_"&amp;K$4,'2. หน้างบรายจ่าย'!$C:$K,8,0)))</f>
        <v>0</v>
      </c>
      <c r="L75" s="247">
        <f>IF($C75="",0,IF(ISNA(VLOOKUP($A75&amp;"_"&amp;L$4,'2. หน้างบรายจ่าย'!$C:$K,9,0)),0,VLOOKUP($A75&amp;"_"&amp;L$4,'2. หน้างบรายจ่าย'!$C:$K,9,0)))</f>
        <v>0</v>
      </c>
      <c r="M75" s="247">
        <f>IF($C75="",0,IF(ISNA(VLOOKUP($A75&amp;"_"&amp;M$4,'2. หน้างบรายจ่าย'!$C:$K,7,0)),0,VLOOKUP($A75&amp;"_"&amp;M$4,'2. หน้างบรายจ่าย'!$C:$K,7,0)))</f>
        <v>0</v>
      </c>
      <c r="N75" s="247">
        <f>IF($C75="",0,IF(ISNA(VLOOKUP($A75&amp;"_"&amp;N$4,'2. หน้างบรายจ่าย'!$C:$K,8,0)),0,VLOOKUP($A75&amp;"_"&amp;N$4,'2. หน้างบรายจ่าย'!$C:$K,8,0)))</f>
        <v>0</v>
      </c>
      <c r="O75" s="248">
        <f>IF($C75="",0,IF(ISNA(VLOOKUP($A75&amp;"_"&amp;O$4,'2. หน้างบรายจ่าย'!$C:$K,9,0)),0,VLOOKUP($A75&amp;"_"&amp;O$4,'2. หน้างบรายจ่าย'!$C:$K,9,0)))</f>
        <v>0</v>
      </c>
      <c r="P75" s="246">
        <f>IF($C75="",0,IF(ISNA(VLOOKUP($A75&amp;"_"&amp;P$4,'2. หน้างบรายจ่าย'!$C:$K,7,0)),0,VLOOKUP($A75&amp;"_"&amp;P$4,'2. หน้างบรายจ่าย'!$C:$K,7,0)))</f>
        <v>0</v>
      </c>
      <c r="Q75" s="249">
        <f>IF($C75="",0,IF(ISNA(VLOOKUP($A75&amp;"_"&amp;Q$4,'2. หน้างบรายจ่าย'!$C:$K,8,0)),0,VLOOKUP($A75&amp;"_"&amp;Q$4,'2. หน้างบรายจ่าย'!$C:$K,8,0)))</f>
        <v>0</v>
      </c>
      <c r="R75" s="247">
        <f>IF($C75="",0,IF(ISNA(VLOOKUP($A75&amp;"_"&amp;R$4,'2. หน้างบรายจ่าย'!$C:$K,9,0)),0,VLOOKUP($A75&amp;"_"&amp;R$4,'2. หน้างบรายจ่าย'!$C:$K,9,0)))</f>
        <v>0</v>
      </c>
      <c r="S75" s="247">
        <f>IF($C75="",0,IF(ISNA(VLOOKUP($A75&amp;"_"&amp;S$4,'2. หน้างบรายจ่าย'!$C:$K,7,0)),0,VLOOKUP($A75&amp;"_"&amp;S$4,'2. หน้างบรายจ่าย'!$C:$K,7,0)))</f>
        <v>0</v>
      </c>
      <c r="T75" s="247">
        <f>IF($C75="",0,IF(ISNA(VLOOKUP($A75&amp;"_"&amp;T$4,'2. หน้างบรายจ่าย'!$C:$K,8,0)),0,VLOOKUP($A75&amp;"_"&amp;T$4,'2. หน้างบรายจ่าย'!$C:$K,8,0)))</f>
        <v>0</v>
      </c>
      <c r="U75" s="247">
        <f>IF($C75="",0,IF(ISNA(VLOOKUP($A75&amp;"_"&amp;U$4,'2. หน้างบรายจ่าย'!$C:$K,9,0)),0,VLOOKUP($A75&amp;"_"&amp;U$4,'2. หน้างบรายจ่าย'!$C:$K,9,0)))</f>
        <v>0</v>
      </c>
      <c r="V75" s="247">
        <f>IF($C75="",0,IF(ISNA(VLOOKUP($A75&amp;"_"&amp;V$4,'2. หน้างบรายจ่าย'!$C:$K,7,0)),0,VLOOKUP($A75&amp;"_"&amp;V$4,'2. หน้างบรายจ่าย'!$C:$K,7,0)))</f>
        <v>0</v>
      </c>
      <c r="W75" s="247">
        <f>IF($C75="",0,IF(ISNA(VLOOKUP($A75&amp;"_"&amp;W$4,'2. หน้างบรายจ่าย'!$C:$K,8,0)),0,VLOOKUP($A75&amp;"_"&amp;W$4,'2. หน้างบรายจ่าย'!$C:$K,8,0)))</f>
        <v>0</v>
      </c>
      <c r="X75" s="247">
        <f>IF($C75="",0,IF(ISNA(VLOOKUP($A75&amp;"_"&amp;X$4,'2. หน้างบรายจ่าย'!$C:$K,9,0)),0,VLOOKUP($A75&amp;"_"&amp;X$4,'2. หน้างบรายจ่าย'!$C:$K,9,0)))</f>
        <v>0</v>
      </c>
      <c r="Y75" s="247">
        <f>IF($C75="",0,IF(ISNA(VLOOKUP($A75&amp;"_"&amp;Y$4,'2. หน้างบรายจ่าย'!$C:$K,7,0)),0,VLOOKUP($A75&amp;"_"&amp;Y$4,'2. หน้างบรายจ่าย'!$C:$K,7,0)))</f>
        <v>0</v>
      </c>
      <c r="Z75" s="247">
        <f>IF($C75="",0,IF(ISNA(VLOOKUP($A75&amp;"_"&amp;Z$4,'2. หน้างบรายจ่าย'!$C:$K,8,0)),0,VLOOKUP($A75&amp;"_"&amp;Z$4,'2. หน้างบรายจ่าย'!$C:$K,8,0)))</f>
        <v>0</v>
      </c>
      <c r="AA75" s="247">
        <f>IF($C75="",0,IF(ISNA(VLOOKUP($A75&amp;"_"&amp;AA$4,'2. หน้างบรายจ่าย'!$C:$K,9,0)),0,VLOOKUP($A75&amp;"_"&amp;AA$4,'2. หน้างบรายจ่าย'!$C:$K,9,0)))</f>
        <v>0</v>
      </c>
      <c r="AB75" s="247">
        <f>IF($C75="",0,IF(ISNA(VLOOKUP($A75&amp;"_"&amp;AB$4,'2. หน้างบรายจ่าย'!$C:$K,7,0)),0,VLOOKUP($A75&amp;"_"&amp;AB$4,'2. หน้างบรายจ่าย'!$C:$K,7,0)))</f>
        <v>0</v>
      </c>
      <c r="AC75" s="251">
        <f>IF($C75="",0,IF(ISNA(VLOOKUP($A75&amp;"_"&amp;AC$4,'2. หน้างบรายจ่าย'!$C:$K,8,0)),0,VLOOKUP($A75&amp;"_"&amp;AC$4,'2. หน้างบรายจ่าย'!$C:$K,8,0)))</f>
        <v>0</v>
      </c>
      <c r="AD75" s="248">
        <f>IF($C75="",0,IF(ISNA(VLOOKUP($A75&amp;"_"&amp;AD$4,'2. หน้างบรายจ่าย'!$C:$K,9,0)),0,VLOOKUP($A75&amp;"_"&amp;AD$4,'2. หน้างบรายจ่าย'!$C:$K,9,0)))</f>
        <v>0</v>
      </c>
      <c r="AE75" s="246">
        <f>IF($C75="",0,IF(ISNA(VLOOKUP($A75&amp;"_"&amp;AE$4,'2. หน้างบรายจ่าย'!$C:$K,7,0)),0,VLOOKUP($A75&amp;"_"&amp;AE$4,'2. หน้างบรายจ่าย'!$C:$K,7,0)))</f>
        <v>0</v>
      </c>
      <c r="AF75" s="250">
        <f>IF($C75="",0,IF(ISNA(VLOOKUP($A75&amp;"_"&amp;AF$4,'2. หน้างบรายจ่าย'!$C:$K,8,0)),0,VLOOKUP($A75&amp;"_"&amp;AF$4,'2. หน้างบรายจ่าย'!$C:$K,8,0)))</f>
        <v>0</v>
      </c>
      <c r="AG75" s="248">
        <f>IF($C75="",0,IF(ISNA(VLOOKUP($A75&amp;"_"&amp;AG$4,'2. หน้างบรายจ่าย'!$C:$K,9,0)),0,VLOOKUP($A75&amp;"_"&amp;AG$4,'2. หน้างบรายจ่าย'!$C:$K,9,0)))</f>
        <v>0</v>
      </c>
      <c r="AH75" s="249">
        <f>IF($C75="",0,IF(ISNA(VLOOKUP($A75&amp;"_"&amp;AH$4,'2. หน้างบรายจ่าย'!$C:$K,7,0)),0,VLOOKUP($A75&amp;"_"&amp;AH$4,'2. หน้างบรายจ่าย'!$C:$K,7,0)))</f>
        <v>0</v>
      </c>
      <c r="AI75" s="250">
        <f>IF($C75="",0,IF(ISNA(VLOOKUP($A75&amp;"_"&amp;AI$4,'2. หน้างบรายจ่าย'!$C:$K,8,0)),0,VLOOKUP($A75&amp;"_"&amp;AI$4,'2. หน้างบรายจ่าย'!$C:$K,8,0)))</f>
        <v>0</v>
      </c>
      <c r="AJ75" s="248">
        <f>IF($C75="",0,IF(ISNA(VLOOKUP($A75&amp;"_"&amp;AJ$4,'2. หน้างบรายจ่าย'!$C:$K,9,0)),0,VLOOKUP($A75&amp;"_"&amp;AJ$4,'2. หน้างบรายจ่าย'!$C:$K,9,0)))</f>
        <v>0</v>
      </c>
      <c r="AK75" s="249">
        <f>IF($C75="",0,IF(ISNA(VLOOKUP($A75&amp;"_"&amp;AK$4,'2. หน้างบรายจ่าย'!$C:$K,7,0)),0,VLOOKUP($A75&amp;"_"&amp;AK$4,'2. หน้างบรายจ่าย'!$C:$K,7,0)))</f>
        <v>0</v>
      </c>
      <c r="AL75" s="250">
        <f>IF($C75="",0,IF(ISNA(VLOOKUP($A75&amp;"_"&amp;AL$4,'2. หน้างบรายจ่าย'!$C:$K,8,0)),0,VLOOKUP($A75&amp;"_"&amp;AL$4,'2. หน้างบรายจ่าย'!$C:$K,8,0)))</f>
        <v>0</v>
      </c>
      <c r="AM75" s="248">
        <f>IF($C75="",0,IF(ISNA(VLOOKUP($A75&amp;"_"&amp;AM$4,'2. หน้างบรายจ่าย'!$C:$K,9,0)),0,VLOOKUP($A75&amp;"_"&amp;AM$4,'2. หน้างบรายจ่าย'!$C:$K,9,0)))</f>
        <v>0</v>
      </c>
      <c r="AP75" s="171" t="str">
        <f t="shared" si="25"/>
        <v>No</v>
      </c>
    </row>
    <row r="76" spans="1:42" ht="25.5" hidden="1" customHeight="1">
      <c r="A76" s="210">
        <v>47</v>
      </c>
      <c r="B76" s="244" t="str">
        <f>IF(ISNA(VLOOKUP(A76,'2. หน้างบรายจ่าย'!$A:$K,4,0)),"",TEXT(VLOOKUP(A76,'2. หน้างบรายจ่าย'!$A:$K,4,0),"dd ดดด yy"))</f>
        <v/>
      </c>
      <c r="C76" s="245" t="str">
        <f>IF(ISNA(VLOOKUP(A76,'2. หน้างบรายจ่าย'!$A:$K,8,0)),"",VLOOKUP(A76,'2. หน้างบรายจ่าย'!$A:$K,8,0))</f>
        <v/>
      </c>
      <c r="D76" s="231">
        <f t="shared" si="22"/>
        <v>0</v>
      </c>
      <c r="E76" s="232">
        <f t="shared" si="23"/>
        <v>0</v>
      </c>
      <c r="F76" s="231">
        <f t="shared" si="24"/>
        <v>0</v>
      </c>
      <c r="G76" s="247">
        <f>IF($C76="",0,IF(ISNA(VLOOKUP($A76&amp;"_"&amp;G$4,'2. หน้างบรายจ่าย'!$C:$K,7,0)),0,VLOOKUP($A76&amp;"_"&amp;G$4,'2. หน้างบรายจ่าย'!$C:$K,7,0)))</f>
        <v>0</v>
      </c>
      <c r="H76" s="247">
        <f>IF($C76="",0,IF(ISNA(VLOOKUP($A76&amp;"_"&amp;H$4,'2. หน้างบรายจ่าย'!$C:$K,8,0)),0,VLOOKUP($A76&amp;"_"&amp;H$4,'2. หน้างบรายจ่าย'!$C:$K,8,0)))</f>
        <v>0</v>
      </c>
      <c r="I76" s="247">
        <f>IF($C76="",0,IF(ISNA(VLOOKUP($A76&amp;"_"&amp;I$4,'2. หน้างบรายจ่าย'!$C:$K,9,0)),0,VLOOKUP($A76&amp;"_"&amp;I$4,'2. หน้างบรายจ่าย'!$C:$K,9,0)))</f>
        <v>0</v>
      </c>
      <c r="J76" s="247">
        <f>IF($C76="",0,IF(ISNA(VLOOKUP($A76&amp;"_"&amp;J$4,'2. หน้างบรายจ่าย'!$C:$K,7,0)),0,VLOOKUP($A76&amp;"_"&amp;J$4,'2. หน้างบรายจ่าย'!$C:$K,7,0)))</f>
        <v>0</v>
      </c>
      <c r="K76" s="247">
        <f>IF($C76="",0,IF(ISNA(VLOOKUP($A76&amp;"_"&amp;K$4,'2. หน้างบรายจ่าย'!$C:$K,8,0)),0,VLOOKUP($A76&amp;"_"&amp;K$4,'2. หน้างบรายจ่าย'!$C:$K,8,0)))</f>
        <v>0</v>
      </c>
      <c r="L76" s="247">
        <f>IF($C76="",0,IF(ISNA(VLOOKUP($A76&amp;"_"&amp;L$4,'2. หน้างบรายจ่าย'!$C:$K,9,0)),0,VLOOKUP($A76&amp;"_"&amp;L$4,'2. หน้างบรายจ่าย'!$C:$K,9,0)))</f>
        <v>0</v>
      </c>
      <c r="M76" s="247">
        <f>IF($C76="",0,IF(ISNA(VLOOKUP($A76&amp;"_"&amp;M$4,'2. หน้างบรายจ่าย'!$C:$K,7,0)),0,VLOOKUP($A76&amp;"_"&amp;M$4,'2. หน้างบรายจ่าย'!$C:$K,7,0)))</f>
        <v>0</v>
      </c>
      <c r="N76" s="247">
        <f>IF($C76="",0,IF(ISNA(VLOOKUP($A76&amp;"_"&amp;N$4,'2. หน้างบรายจ่าย'!$C:$K,8,0)),0,VLOOKUP($A76&amp;"_"&amp;N$4,'2. หน้างบรายจ่าย'!$C:$K,8,0)))</f>
        <v>0</v>
      </c>
      <c r="O76" s="248">
        <f>IF($C76="",0,IF(ISNA(VLOOKUP($A76&amp;"_"&amp;O$4,'2. หน้างบรายจ่าย'!$C:$K,9,0)),0,VLOOKUP($A76&amp;"_"&amp;O$4,'2. หน้างบรายจ่าย'!$C:$K,9,0)))</f>
        <v>0</v>
      </c>
      <c r="P76" s="246">
        <f>IF($C76="",0,IF(ISNA(VLOOKUP($A76&amp;"_"&amp;P$4,'2. หน้างบรายจ่าย'!$C:$K,7,0)),0,VLOOKUP($A76&amp;"_"&amp;P$4,'2. หน้างบรายจ่าย'!$C:$K,7,0)))</f>
        <v>0</v>
      </c>
      <c r="Q76" s="249">
        <f>IF($C76="",0,IF(ISNA(VLOOKUP($A76&amp;"_"&amp;Q$4,'2. หน้างบรายจ่าย'!$C:$K,8,0)),0,VLOOKUP($A76&amp;"_"&amp;Q$4,'2. หน้างบรายจ่าย'!$C:$K,8,0)))</f>
        <v>0</v>
      </c>
      <c r="R76" s="247">
        <f>IF($C76="",0,IF(ISNA(VLOOKUP($A76&amp;"_"&amp;R$4,'2. หน้างบรายจ่าย'!$C:$K,9,0)),0,VLOOKUP($A76&amp;"_"&amp;R$4,'2. หน้างบรายจ่าย'!$C:$K,9,0)))</f>
        <v>0</v>
      </c>
      <c r="S76" s="247">
        <f>IF($C76="",0,IF(ISNA(VLOOKUP($A76&amp;"_"&amp;S$4,'2. หน้างบรายจ่าย'!$C:$K,7,0)),0,VLOOKUP($A76&amp;"_"&amp;S$4,'2. หน้างบรายจ่าย'!$C:$K,7,0)))</f>
        <v>0</v>
      </c>
      <c r="T76" s="247">
        <f>IF($C76="",0,IF(ISNA(VLOOKUP($A76&amp;"_"&amp;T$4,'2. หน้างบรายจ่าย'!$C:$K,8,0)),0,VLOOKUP($A76&amp;"_"&amp;T$4,'2. หน้างบรายจ่าย'!$C:$K,8,0)))</f>
        <v>0</v>
      </c>
      <c r="U76" s="247">
        <f>IF($C76="",0,IF(ISNA(VLOOKUP($A76&amp;"_"&amp;U$4,'2. หน้างบรายจ่าย'!$C:$K,9,0)),0,VLOOKUP($A76&amp;"_"&amp;U$4,'2. หน้างบรายจ่าย'!$C:$K,9,0)))</f>
        <v>0</v>
      </c>
      <c r="V76" s="247">
        <f>IF($C76="",0,IF(ISNA(VLOOKUP($A76&amp;"_"&amp;V$4,'2. หน้างบรายจ่าย'!$C:$K,7,0)),0,VLOOKUP($A76&amp;"_"&amp;V$4,'2. หน้างบรายจ่าย'!$C:$K,7,0)))</f>
        <v>0</v>
      </c>
      <c r="W76" s="247">
        <f>IF($C76="",0,IF(ISNA(VLOOKUP($A76&amp;"_"&amp;W$4,'2. หน้างบรายจ่าย'!$C:$K,8,0)),0,VLOOKUP($A76&amp;"_"&amp;W$4,'2. หน้างบรายจ่าย'!$C:$K,8,0)))</f>
        <v>0</v>
      </c>
      <c r="X76" s="247">
        <f>IF($C76="",0,IF(ISNA(VLOOKUP($A76&amp;"_"&amp;X$4,'2. หน้างบรายจ่าย'!$C:$K,9,0)),0,VLOOKUP($A76&amp;"_"&amp;X$4,'2. หน้างบรายจ่าย'!$C:$K,9,0)))</f>
        <v>0</v>
      </c>
      <c r="Y76" s="247">
        <f>IF($C76="",0,IF(ISNA(VLOOKUP($A76&amp;"_"&amp;Y$4,'2. หน้างบรายจ่าย'!$C:$K,7,0)),0,VLOOKUP($A76&amp;"_"&amp;Y$4,'2. หน้างบรายจ่าย'!$C:$K,7,0)))</f>
        <v>0</v>
      </c>
      <c r="Z76" s="247">
        <f>IF($C76="",0,IF(ISNA(VLOOKUP($A76&amp;"_"&amp;Z$4,'2. หน้างบรายจ่าย'!$C:$K,8,0)),0,VLOOKUP($A76&amp;"_"&amp;Z$4,'2. หน้างบรายจ่าย'!$C:$K,8,0)))</f>
        <v>0</v>
      </c>
      <c r="AA76" s="247">
        <f>IF($C76="",0,IF(ISNA(VLOOKUP($A76&amp;"_"&amp;AA$4,'2. หน้างบรายจ่าย'!$C:$K,9,0)),0,VLOOKUP($A76&amp;"_"&amp;AA$4,'2. หน้างบรายจ่าย'!$C:$K,9,0)))</f>
        <v>0</v>
      </c>
      <c r="AB76" s="247">
        <f>IF($C76="",0,IF(ISNA(VLOOKUP($A76&amp;"_"&amp;AB$4,'2. หน้างบรายจ่าย'!$C:$K,7,0)),0,VLOOKUP($A76&amp;"_"&amp;AB$4,'2. หน้างบรายจ่าย'!$C:$K,7,0)))</f>
        <v>0</v>
      </c>
      <c r="AC76" s="251">
        <f>IF($C76="",0,IF(ISNA(VLOOKUP($A76&amp;"_"&amp;AC$4,'2. หน้างบรายจ่าย'!$C:$K,8,0)),0,VLOOKUP($A76&amp;"_"&amp;AC$4,'2. หน้างบรายจ่าย'!$C:$K,8,0)))</f>
        <v>0</v>
      </c>
      <c r="AD76" s="248">
        <f>IF($C76="",0,IF(ISNA(VLOOKUP($A76&amp;"_"&amp;AD$4,'2. หน้างบรายจ่าย'!$C:$K,9,0)),0,VLOOKUP($A76&amp;"_"&amp;AD$4,'2. หน้างบรายจ่าย'!$C:$K,9,0)))</f>
        <v>0</v>
      </c>
      <c r="AE76" s="246">
        <f>IF($C76="",0,IF(ISNA(VLOOKUP($A76&amp;"_"&amp;AE$4,'2. หน้างบรายจ่าย'!$C:$K,7,0)),0,VLOOKUP($A76&amp;"_"&amp;AE$4,'2. หน้างบรายจ่าย'!$C:$K,7,0)))</f>
        <v>0</v>
      </c>
      <c r="AF76" s="250">
        <f>IF($C76="",0,IF(ISNA(VLOOKUP($A76&amp;"_"&amp;AF$4,'2. หน้างบรายจ่าย'!$C:$K,8,0)),0,VLOOKUP($A76&amp;"_"&amp;AF$4,'2. หน้างบรายจ่าย'!$C:$K,8,0)))</f>
        <v>0</v>
      </c>
      <c r="AG76" s="248">
        <f>IF($C76="",0,IF(ISNA(VLOOKUP($A76&amp;"_"&amp;AG$4,'2. หน้างบรายจ่าย'!$C:$K,9,0)),0,VLOOKUP($A76&amp;"_"&amp;AG$4,'2. หน้างบรายจ่าย'!$C:$K,9,0)))</f>
        <v>0</v>
      </c>
      <c r="AH76" s="249">
        <f>IF($C76="",0,IF(ISNA(VLOOKUP($A76&amp;"_"&amp;AH$4,'2. หน้างบรายจ่าย'!$C:$K,7,0)),0,VLOOKUP($A76&amp;"_"&amp;AH$4,'2. หน้างบรายจ่าย'!$C:$K,7,0)))</f>
        <v>0</v>
      </c>
      <c r="AI76" s="250">
        <f>IF($C76="",0,IF(ISNA(VLOOKUP($A76&amp;"_"&amp;AI$4,'2. หน้างบรายจ่าย'!$C:$K,8,0)),0,VLOOKUP($A76&amp;"_"&amp;AI$4,'2. หน้างบรายจ่าย'!$C:$K,8,0)))</f>
        <v>0</v>
      </c>
      <c r="AJ76" s="248">
        <f>IF($C76="",0,IF(ISNA(VLOOKUP($A76&amp;"_"&amp;AJ$4,'2. หน้างบรายจ่าย'!$C:$K,9,0)),0,VLOOKUP($A76&amp;"_"&amp;AJ$4,'2. หน้างบรายจ่าย'!$C:$K,9,0)))</f>
        <v>0</v>
      </c>
      <c r="AK76" s="249">
        <f>IF($C76="",0,IF(ISNA(VLOOKUP($A76&amp;"_"&amp;AK$4,'2. หน้างบรายจ่าย'!$C:$K,7,0)),0,VLOOKUP($A76&amp;"_"&amp;AK$4,'2. หน้างบรายจ่าย'!$C:$K,7,0)))</f>
        <v>0</v>
      </c>
      <c r="AL76" s="250">
        <f>IF($C76="",0,IF(ISNA(VLOOKUP($A76&amp;"_"&amp;AL$4,'2. หน้างบรายจ่าย'!$C:$K,8,0)),0,VLOOKUP($A76&amp;"_"&amp;AL$4,'2. หน้างบรายจ่าย'!$C:$K,8,0)))</f>
        <v>0</v>
      </c>
      <c r="AM76" s="248">
        <f>IF($C76="",0,IF(ISNA(VLOOKUP($A76&amp;"_"&amp;AM$4,'2. หน้างบรายจ่าย'!$C:$K,9,0)),0,VLOOKUP($A76&amp;"_"&amp;AM$4,'2. หน้างบรายจ่าย'!$C:$K,9,0)))</f>
        <v>0</v>
      </c>
      <c r="AP76" s="171" t="str">
        <f t="shared" si="25"/>
        <v>No</v>
      </c>
    </row>
    <row r="77" spans="1:42" ht="25.5" hidden="1" customHeight="1">
      <c r="A77" s="210">
        <v>48</v>
      </c>
      <c r="B77" s="244" t="str">
        <f>IF(ISNA(VLOOKUP(A77,'2. หน้างบรายจ่าย'!$A:$K,4,0)),"",TEXT(VLOOKUP(A77,'2. หน้างบรายจ่าย'!$A:$K,4,0),"dd ดดด yy"))</f>
        <v/>
      </c>
      <c r="C77" s="245" t="str">
        <f>IF(ISNA(VLOOKUP(A77,'2. หน้างบรายจ่าย'!$A:$K,8,0)),"",VLOOKUP(A77,'2. หน้างบรายจ่าย'!$A:$K,8,0))</f>
        <v/>
      </c>
      <c r="D77" s="231">
        <f t="shared" si="22"/>
        <v>0</v>
      </c>
      <c r="E77" s="232">
        <f t="shared" si="23"/>
        <v>0</v>
      </c>
      <c r="F77" s="231">
        <f t="shared" si="24"/>
        <v>0</v>
      </c>
      <c r="G77" s="247">
        <f>IF($C77="",0,IF(ISNA(VLOOKUP($A77&amp;"_"&amp;G$4,'2. หน้างบรายจ่าย'!$C:$K,7,0)),0,VLOOKUP($A77&amp;"_"&amp;G$4,'2. หน้างบรายจ่าย'!$C:$K,7,0)))</f>
        <v>0</v>
      </c>
      <c r="H77" s="247">
        <f>IF($C77="",0,IF(ISNA(VLOOKUP($A77&amp;"_"&amp;H$4,'2. หน้างบรายจ่าย'!$C:$K,8,0)),0,VLOOKUP($A77&amp;"_"&amp;H$4,'2. หน้างบรายจ่าย'!$C:$K,8,0)))</f>
        <v>0</v>
      </c>
      <c r="I77" s="247">
        <f>IF($C77="",0,IF(ISNA(VLOOKUP($A77&amp;"_"&amp;I$4,'2. หน้างบรายจ่าย'!$C:$K,9,0)),0,VLOOKUP($A77&amp;"_"&amp;I$4,'2. หน้างบรายจ่าย'!$C:$K,9,0)))</f>
        <v>0</v>
      </c>
      <c r="J77" s="247">
        <f>IF($C77="",0,IF(ISNA(VLOOKUP($A77&amp;"_"&amp;J$4,'2. หน้างบรายจ่าย'!$C:$K,7,0)),0,VLOOKUP($A77&amp;"_"&amp;J$4,'2. หน้างบรายจ่าย'!$C:$K,7,0)))</f>
        <v>0</v>
      </c>
      <c r="K77" s="247">
        <f>IF($C77="",0,IF(ISNA(VLOOKUP($A77&amp;"_"&amp;K$4,'2. หน้างบรายจ่าย'!$C:$K,8,0)),0,VLOOKUP($A77&amp;"_"&amp;K$4,'2. หน้างบรายจ่าย'!$C:$K,8,0)))</f>
        <v>0</v>
      </c>
      <c r="L77" s="247">
        <f>IF($C77="",0,IF(ISNA(VLOOKUP($A77&amp;"_"&amp;L$4,'2. หน้างบรายจ่าย'!$C:$K,9,0)),0,VLOOKUP($A77&amp;"_"&amp;L$4,'2. หน้างบรายจ่าย'!$C:$K,9,0)))</f>
        <v>0</v>
      </c>
      <c r="M77" s="247">
        <f>IF($C77="",0,IF(ISNA(VLOOKUP($A77&amp;"_"&amp;M$4,'2. หน้างบรายจ่าย'!$C:$K,7,0)),0,VLOOKUP($A77&amp;"_"&amp;M$4,'2. หน้างบรายจ่าย'!$C:$K,7,0)))</f>
        <v>0</v>
      </c>
      <c r="N77" s="247">
        <f>IF($C77="",0,IF(ISNA(VLOOKUP($A77&amp;"_"&amp;N$4,'2. หน้างบรายจ่าย'!$C:$K,8,0)),0,VLOOKUP($A77&amp;"_"&amp;N$4,'2. หน้างบรายจ่าย'!$C:$K,8,0)))</f>
        <v>0</v>
      </c>
      <c r="O77" s="248">
        <f>IF($C77="",0,IF(ISNA(VLOOKUP($A77&amp;"_"&amp;O$4,'2. หน้างบรายจ่าย'!$C:$K,9,0)),0,VLOOKUP($A77&amp;"_"&amp;O$4,'2. หน้างบรายจ่าย'!$C:$K,9,0)))</f>
        <v>0</v>
      </c>
      <c r="P77" s="246">
        <f>IF($C77="",0,IF(ISNA(VLOOKUP($A77&amp;"_"&amp;P$4,'2. หน้างบรายจ่าย'!$C:$K,7,0)),0,VLOOKUP($A77&amp;"_"&amp;P$4,'2. หน้างบรายจ่าย'!$C:$K,7,0)))</f>
        <v>0</v>
      </c>
      <c r="Q77" s="249">
        <f>IF($C77="",0,IF(ISNA(VLOOKUP($A77&amp;"_"&amp;Q$4,'2. หน้างบรายจ่าย'!$C:$K,8,0)),0,VLOOKUP($A77&amp;"_"&amp;Q$4,'2. หน้างบรายจ่าย'!$C:$K,8,0)))</f>
        <v>0</v>
      </c>
      <c r="R77" s="247">
        <f>IF($C77="",0,IF(ISNA(VLOOKUP($A77&amp;"_"&amp;R$4,'2. หน้างบรายจ่าย'!$C:$K,9,0)),0,VLOOKUP($A77&amp;"_"&amp;R$4,'2. หน้างบรายจ่าย'!$C:$K,9,0)))</f>
        <v>0</v>
      </c>
      <c r="S77" s="247">
        <f>IF($C77="",0,IF(ISNA(VLOOKUP($A77&amp;"_"&amp;S$4,'2. หน้างบรายจ่าย'!$C:$K,7,0)),0,VLOOKUP($A77&amp;"_"&amp;S$4,'2. หน้างบรายจ่าย'!$C:$K,7,0)))</f>
        <v>0</v>
      </c>
      <c r="T77" s="247">
        <f>IF($C77="",0,IF(ISNA(VLOOKUP($A77&amp;"_"&amp;T$4,'2. หน้างบรายจ่าย'!$C:$K,8,0)),0,VLOOKUP($A77&amp;"_"&amp;T$4,'2. หน้างบรายจ่าย'!$C:$K,8,0)))</f>
        <v>0</v>
      </c>
      <c r="U77" s="247">
        <f>IF($C77="",0,IF(ISNA(VLOOKUP($A77&amp;"_"&amp;U$4,'2. หน้างบรายจ่าย'!$C:$K,9,0)),0,VLOOKUP($A77&amp;"_"&amp;U$4,'2. หน้างบรายจ่าย'!$C:$K,9,0)))</f>
        <v>0</v>
      </c>
      <c r="V77" s="247">
        <f>IF($C77="",0,IF(ISNA(VLOOKUP($A77&amp;"_"&amp;V$4,'2. หน้างบรายจ่าย'!$C:$K,7,0)),0,VLOOKUP($A77&amp;"_"&amp;V$4,'2. หน้างบรายจ่าย'!$C:$K,7,0)))</f>
        <v>0</v>
      </c>
      <c r="W77" s="247">
        <f>IF($C77="",0,IF(ISNA(VLOOKUP($A77&amp;"_"&amp;W$4,'2. หน้างบรายจ่าย'!$C:$K,8,0)),0,VLOOKUP($A77&amp;"_"&amp;W$4,'2. หน้างบรายจ่าย'!$C:$K,8,0)))</f>
        <v>0</v>
      </c>
      <c r="X77" s="247">
        <f>IF($C77="",0,IF(ISNA(VLOOKUP($A77&amp;"_"&amp;X$4,'2. หน้างบรายจ่าย'!$C:$K,9,0)),0,VLOOKUP($A77&amp;"_"&amp;X$4,'2. หน้างบรายจ่าย'!$C:$K,9,0)))</f>
        <v>0</v>
      </c>
      <c r="Y77" s="247">
        <f>IF($C77="",0,IF(ISNA(VLOOKUP($A77&amp;"_"&amp;Y$4,'2. หน้างบรายจ่าย'!$C:$K,7,0)),0,VLOOKUP($A77&amp;"_"&amp;Y$4,'2. หน้างบรายจ่าย'!$C:$K,7,0)))</f>
        <v>0</v>
      </c>
      <c r="Z77" s="247">
        <f>IF($C77="",0,IF(ISNA(VLOOKUP($A77&amp;"_"&amp;Z$4,'2. หน้างบรายจ่าย'!$C:$K,8,0)),0,VLOOKUP($A77&amp;"_"&amp;Z$4,'2. หน้างบรายจ่าย'!$C:$K,8,0)))</f>
        <v>0</v>
      </c>
      <c r="AA77" s="247">
        <f>IF($C77="",0,IF(ISNA(VLOOKUP($A77&amp;"_"&amp;AA$4,'2. หน้างบรายจ่าย'!$C:$K,9,0)),0,VLOOKUP($A77&amp;"_"&amp;AA$4,'2. หน้างบรายจ่าย'!$C:$K,9,0)))</f>
        <v>0</v>
      </c>
      <c r="AB77" s="247">
        <f>IF($C77="",0,IF(ISNA(VLOOKUP($A77&amp;"_"&amp;AB$4,'2. หน้างบรายจ่าย'!$C:$K,7,0)),0,VLOOKUP($A77&amp;"_"&amp;AB$4,'2. หน้างบรายจ่าย'!$C:$K,7,0)))</f>
        <v>0</v>
      </c>
      <c r="AC77" s="251">
        <f>IF($C77="",0,IF(ISNA(VLOOKUP($A77&amp;"_"&amp;AC$4,'2. หน้างบรายจ่าย'!$C:$K,8,0)),0,VLOOKUP($A77&amp;"_"&amp;AC$4,'2. หน้างบรายจ่าย'!$C:$K,8,0)))</f>
        <v>0</v>
      </c>
      <c r="AD77" s="248">
        <f>IF($C77="",0,IF(ISNA(VLOOKUP($A77&amp;"_"&amp;AD$4,'2. หน้างบรายจ่าย'!$C:$K,9,0)),0,VLOOKUP($A77&amp;"_"&amp;AD$4,'2. หน้างบรายจ่าย'!$C:$K,9,0)))</f>
        <v>0</v>
      </c>
      <c r="AE77" s="246">
        <f>IF($C77="",0,IF(ISNA(VLOOKUP($A77&amp;"_"&amp;AE$4,'2. หน้างบรายจ่าย'!$C:$K,7,0)),0,VLOOKUP($A77&amp;"_"&amp;AE$4,'2. หน้างบรายจ่าย'!$C:$K,7,0)))</f>
        <v>0</v>
      </c>
      <c r="AF77" s="250">
        <f>IF($C77="",0,IF(ISNA(VLOOKUP($A77&amp;"_"&amp;AF$4,'2. หน้างบรายจ่าย'!$C:$K,8,0)),0,VLOOKUP($A77&amp;"_"&amp;AF$4,'2. หน้างบรายจ่าย'!$C:$K,8,0)))</f>
        <v>0</v>
      </c>
      <c r="AG77" s="248">
        <f>IF($C77="",0,IF(ISNA(VLOOKUP($A77&amp;"_"&amp;AG$4,'2. หน้างบรายจ่าย'!$C:$K,9,0)),0,VLOOKUP($A77&amp;"_"&amp;AG$4,'2. หน้างบรายจ่าย'!$C:$K,9,0)))</f>
        <v>0</v>
      </c>
      <c r="AH77" s="249">
        <f>IF($C77="",0,IF(ISNA(VLOOKUP($A77&amp;"_"&amp;AH$4,'2. หน้างบรายจ่าย'!$C:$K,7,0)),0,VLOOKUP($A77&amp;"_"&amp;AH$4,'2. หน้างบรายจ่าย'!$C:$K,7,0)))</f>
        <v>0</v>
      </c>
      <c r="AI77" s="250">
        <f>IF($C77="",0,IF(ISNA(VLOOKUP($A77&amp;"_"&amp;AI$4,'2. หน้างบรายจ่าย'!$C:$K,8,0)),0,VLOOKUP($A77&amp;"_"&amp;AI$4,'2. หน้างบรายจ่าย'!$C:$K,8,0)))</f>
        <v>0</v>
      </c>
      <c r="AJ77" s="248">
        <f>IF($C77="",0,IF(ISNA(VLOOKUP($A77&amp;"_"&amp;AJ$4,'2. หน้างบรายจ่าย'!$C:$K,9,0)),0,VLOOKUP($A77&amp;"_"&amp;AJ$4,'2. หน้างบรายจ่าย'!$C:$K,9,0)))</f>
        <v>0</v>
      </c>
      <c r="AK77" s="249">
        <f>IF($C77="",0,IF(ISNA(VLOOKUP($A77&amp;"_"&amp;AK$4,'2. หน้างบรายจ่าย'!$C:$K,7,0)),0,VLOOKUP($A77&amp;"_"&amp;AK$4,'2. หน้างบรายจ่าย'!$C:$K,7,0)))</f>
        <v>0</v>
      </c>
      <c r="AL77" s="250">
        <f>IF($C77="",0,IF(ISNA(VLOOKUP($A77&amp;"_"&amp;AL$4,'2. หน้างบรายจ่าย'!$C:$K,8,0)),0,VLOOKUP($A77&amp;"_"&amp;AL$4,'2. หน้างบรายจ่าย'!$C:$K,8,0)))</f>
        <v>0</v>
      </c>
      <c r="AM77" s="248">
        <f>IF($C77="",0,IF(ISNA(VLOOKUP($A77&amp;"_"&amp;AM$4,'2. หน้างบรายจ่าย'!$C:$K,9,0)),0,VLOOKUP($A77&amp;"_"&amp;AM$4,'2. หน้างบรายจ่าย'!$C:$K,9,0)))</f>
        <v>0</v>
      </c>
      <c r="AP77" s="171" t="str">
        <f t="shared" si="25"/>
        <v>No</v>
      </c>
    </row>
    <row r="78" spans="1:42" ht="25.5" hidden="1" customHeight="1">
      <c r="A78" s="210">
        <v>49</v>
      </c>
      <c r="B78" s="244" t="str">
        <f>IF(ISNA(VLOOKUP(A78,'2. หน้างบรายจ่าย'!$A:$K,4,0)),"",TEXT(VLOOKUP(A78,'2. หน้างบรายจ่าย'!$A:$K,4,0),"dd ดดด yy"))</f>
        <v/>
      </c>
      <c r="C78" s="245" t="str">
        <f>IF(ISNA(VLOOKUP(A78,'2. หน้างบรายจ่าย'!$A:$K,8,0)),"",VLOOKUP(A78,'2. หน้างบรายจ่าย'!$A:$K,8,0))</f>
        <v/>
      </c>
      <c r="D78" s="231">
        <f t="shared" si="22"/>
        <v>0</v>
      </c>
      <c r="E78" s="232">
        <f t="shared" si="23"/>
        <v>0</v>
      </c>
      <c r="F78" s="231">
        <f t="shared" si="24"/>
        <v>0</v>
      </c>
      <c r="G78" s="247">
        <f>IF($C78="",0,IF(ISNA(VLOOKUP($A78&amp;"_"&amp;G$4,'2. หน้างบรายจ่าย'!$C:$K,7,0)),0,VLOOKUP($A78&amp;"_"&amp;G$4,'2. หน้างบรายจ่าย'!$C:$K,7,0)))</f>
        <v>0</v>
      </c>
      <c r="H78" s="247">
        <f>IF($C78="",0,IF(ISNA(VLOOKUP($A78&amp;"_"&amp;H$4,'2. หน้างบรายจ่าย'!$C:$K,8,0)),0,VLOOKUP($A78&amp;"_"&amp;H$4,'2. หน้างบรายจ่าย'!$C:$K,8,0)))</f>
        <v>0</v>
      </c>
      <c r="I78" s="247">
        <f>IF($C78="",0,IF(ISNA(VLOOKUP($A78&amp;"_"&amp;I$4,'2. หน้างบรายจ่าย'!$C:$K,9,0)),0,VLOOKUP($A78&amp;"_"&amp;I$4,'2. หน้างบรายจ่าย'!$C:$K,9,0)))</f>
        <v>0</v>
      </c>
      <c r="J78" s="247">
        <f>IF($C78="",0,IF(ISNA(VLOOKUP($A78&amp;"_"&amp;J$4,'2. หน้างบรายจ่าย'!$C:$K,7,0)),0,VLOOKUP($A78&amp;"_"&amp;J$4,'2. หน้างบรายจ่าย'!$C:$K,7,0)))</f>
        <v>0</v>
      </c>
      <c r="K78" s="247">
        <f>IF($C78="",0,IF(ISNA(VLOOKUP($A78&amp;"_"&amp;K$4,'2. หน้างบรายจ่าย'!$C:$K,8,0)),0,VLOOKUP($A78&amp;"_"&amp;K$4,'2. หน้างบรายจ่าย'!$C:$K,8,0)))</f>
        <v>0</v>
      </c>
      <c r="L78" s="247">
        <f>IF($C78="",0,IF(ISNA(VLOOKUP($A78&amp;"_"&amp;L$4,'2. หน้างบรายจ่าย'!$C:$K,9,0)),0,VLOOKUP($A78&amp;"_"&amp;L$4,'2. หน้างบรายจ่าย'!$C:$K,9,0)))</f>
        <v>0</v>
      </c>
      <c r="M78" s="247">
        <f>IF($C78="",0,IF(ISNA(VLOOKUP($A78&amp;"_"&amp;M$4,'2. หน้างบรายจ่าย'!$C:$K,7,0)),0,VLOOKUP($A78&amp;"_"&amp;M$4,'2. หน้างบรายจ่าย'!$C:$K,7,0)))</f>
        <v>0</v>
      </c>
      <c r="N78" s="247">
        <f>IF($C78="",0,IF(ISNA(VLOOKUP($A78&amp;"_"&amp;N$4,'2. หน้างบรายจ่าย'!$C:$K,8,0)),0,VLOOKUP($A78&amp;"_"&amp;N$4,'2. หน้างบรายจ่าย'!$C:$K,8,0)))</f>
        <v>0</v>
      </c>
      <c r="O78" s="248">
        <f>IF($C78="",0,IF(ISNA(VLOOKUP($A78&amp;"_"&amp;O$4,'2. หน้างบรายจ่าย'!$C:$K,9,0)),0,VLOOKUP($A78&amp;"_"&amp;O$4,'2. หน้างบรายจ่าย'!$C:$K,9,0)))</f>
        <v>0</v>
      </c>
      <c r="P78" s="246">
        <f>IF($C78="",0,IF(ISNA(VLOOKUP($A78&amp;"_"&amp;P$4,'2. หน้างบรายจ่าย'!$C:$K,7,0)),0,VLOOKUP($A78&amp;"_"&amp;P$4,'2. หน้างบรายจ่าย'!$C:$K,7,0)))</f>
        <v>0</v>
      </c>
      <c r="Q78" s="249">
        <f>IF($C78="",0,IF(ISNA(VLOOKUP($A78&amp;"_"&amp;Q$4,'2. หน้างบรายจ่าย'!$C:$K,8,0)),0,VLOOKUP($A78&amp;"_"&amp;Q$4,'2. หน้างบรายจ่าย'!$C:$K,8,0)))</f>
        <v>0</v>
      </c>
      <c r="R78" s="247">
        <f>IF($C78="",0,IF(ISNA(VLOOKUP($A78&amp;"_"&amp;R$4,'2. หน้างบรายจ่าย'!$C:$K,9,0)),0,VLOOKUP($A78&amp;"_"&amp;R$4,'2. หน้างบรายจ่าย'!$C:$K,9,0)))</f>
        <v>0</v>
      </c>
      <c r="S78" s="247">
        <f>IF($C78="",0,IF(ISNA(VLOOKUP($A78&amp;"_"&amp;S$4,'2. หน้างบรายจ่าย'!$C:$K,7,0)),0,VLOOKUP($A78&amp;"_"&amp;S$4,'2. หน้างบรายจ่าย'!$C:$K,7,0)))</f>
        <v>0</v>
      </c>
      <c r="T78" s="247">
        <f>IF($C78="",0,IF(ISNA(VLOOKUP($A78&amp;"_"&amp;T$4,'2. หน้างบรายจ่าย'!$C:$K,8,0)),0,VLOOKUP($A78&amp;"_"&amp;T$4,'2. หน้างบรายจ่าย'!$C:$K,8,0)))</f>
        <v>0</v>
      </c>
      <c r="U78" s="247">
        <f>IF($C78="",0,IF(ISNA(VLOOKUP($A78&amp;"_"&amp;U$4,'2. หน้างบรายจ่าย'!$C:$K,9,0)),0,VLOOKUP($A78&amp;"_"&amp;U$4,'2. หน้างบรายจ่าย'!$C:$K,9,0)))</f>
        <v>0</v>
      </c>
      <c r="V78" s="247">
        <f>IF($C78="",0,IF(ISNA(VLOOKUP($A78&amp;"_"&amp;V$4,'2. หน้างบรายจ่าย'!$C:$K,7,0)),0,VLOOKUP($A78&amp;"_"&amp;V$4,'2. หน้างบรายจ่าย'!$C:$K,7,0)))</f>
        <v>0</v>
      </c>
      <c r="W78" s="247">
        <f>IF($C78="",0,IF(ISNA(VLOOKUP($A78&amp;"_"&amp;W$4,'2. หน้างบรายจ่าย'!$C:$K,8,0)),0,VLOOKUP($A78&amp;"_"&amp;W$4,'2. หน้างบรายจ่าย'!$C:$K,8,0)))</f>
        <v>0</v>
      </c>
      <c r="X78" s="247">
        <f>IF($C78="",0,IF(ISNA(VLOOKUP($A78&amp;"_"&amp;X$4,'2. หน้างบรายจ่าย'!$C:$K,9,0)),0,VLOOKUP($A78&amp;"_"&amp;X$4,'2. หน้างบรายจ่าย'!$C:$K,9,0)))</f>
        <v>0</v>
      </c>
      <c r="Y78" s="247">
        <f>IF($C78="",0,IF(ISNA(VLOOKUP($A78&amp;"_"&amp;Y$4,'2. หน้างบรายจ่าย'!$C:$K,7,0)),0,VLOOKUP($A78&amp;"_"&amp;Y$4,'2. หน้างบรายจ่าย'!$C:$K,7,0)))</f>
        <v>0</v>
      </c>
      <c r="Z78" s="247">
        <f>IF($C78="",0,IF(ISNA(VLOOKUP($A78&amp;"_"&amp;Z$4,'2. หน้างบรายจ่าย'!$C:$K,8,0)),0,VLOOKUP($A78&amp;"_"&amp;Z$4,'2. หน้างบรายจ่าย'!$C:$K,8,0)))</f>
        <v>0</v>
      </c>
      <c r="AA78" s="247">
        <f>IF($C78="",0,IF(ISNA(VLOOKUP($A78&amp;"_"&amp;AA$4,'2. หน้างบรายจ่าย'!$C:$K,9,0)),0,VLOOKUP($A78&amp;"_"&amp;AA$4,'2. หน้างบรายจ่าย'!$C:$K,9,0)))</f>
        <v>0</v>
      </c>
      <c r="AB78" s="247">
        <f>IF($C78="",0,IF(ISNA(VLOOKUP($A78&amp;"_"&amp;AB$4,'2. หน้างบรายจ่าย'!$C:$K,7,0)),0,VLOOKUP($A78&amp;"_"&amp;AB$4,'2. หน้างบรายจ่าย'!$C:$K,7,0)))</f>
        <v>0</v>
      </c>
      <c r="AC78" s="251">
        <f>IF($C78="",0,IF(ISNA(VLOOKUP($A78&amp;"_"&amp;AC$4,'2. หน้างบรายจ่าย'!$C:$K,8,0)),0,VLOOKUP($A78&amp;"_"&amp;AC$4,'2. หน้างบรายจ่าย'!$C:$K,8,0)))</f>
        <v>0</v>
      </c>
      <c r="AD78" s="248">
        <f>IF($C78="",0,IF(ISNA(VLOOKUP($A78&amp;"_"&amp;AD$4,'2. หน้างบรายจ่าย'!$C:$K,9,0)),0,VLOOKUP($A78&amp;"_"&amp;AD$4,'2. หน้างบรายจ่าย'!$C:$K,9,0)))</f>
        <v>0</v>
      </c>
      <c r="AE78" s="246">
        <f>IF($C78="",0,IF(ISNA(VLOOKUP($A78&amp;"_"&amp;AE$4,'2. หน้างบรายจ่าย'!$C:$K,7,0)),0,VLOOKUP($A78&amp;"_"&amp;AE$4,'2. หน้างบรายจ่าย'!$C:$K,7,0)))</f>
        <v>0</v>
      </c>
      <c r="AF78" s="250">
        <f>IF($C78="",0,IF(ISNA(VLOOKUP($A78&amp;"_"&amp;AF$4,'2. หน้างบรายจ่าย'!$C:$K,8,0)),0,VLOOKUP($A78&amp;"_"&amp;AF$4,'2. หน้างบรายจ่าย'!$C:$K,8,0)))</f>
        <v>0</v>
      </c>
      <c r="AG78" s="248">
        <f>IF($C78="",0,IF(ISNA(VLOOKUP($A78&amp;"_"&amp;AG$4,'2. หน้างบรายจ่าย'!$C:$K,9,0)),0,VLOOKUP($A78&amp;"_"&amp;AG$4,'2. หน้างบรายจ่าย'!$C:$K,9,0)))</f>
        <v>0</v>
      </c>
      <c r="AH78" s="249">
        <f>IF($C78="",0,IF(ISNA(VLOOKUP($A78&amp;"_"&amp;AH$4,'2. หน้างบรายจ่าย'!$C:$K,7,0)),0,VLOOKUP($A78&amp;"_"&amp;AH$4,'2. หน้างบรายจ่าย'!$C:$K,7,0)))</f>
        <v>0</v>
      </c>
      <c r="AI78" s="250">
        <f>IF($C78="",0,IF(ISNA(VLOOKUP($A78&amp;"_"&amp;AI$4,'2. หน้างบรายจ่าย'!$C:$K,8,0)),0,VLOOKUP($A78&amp;"_"&amp;AI$4,'2. หน้างบรายจ่าย'!$C:$K,8,0)))</f>
        <v>0</v>
      </c>
      <c r="AJ78" s="248">
        <f>IF($C78="",0,IF(ISNA(VLOOKUP($A78&amp;"_"&amp;AJ$4,'2. หน้างบรายจ่าย'!$C:$K,9,0)),0,VLOOKUP($A78&amp;"_"&amp;AJ$4,'2. หน้างบรายจ่าย'!$C:$K,9,0)))</f>
        <v>0</v>
      </c>
      <c r="AK78" s="249">
        <f>IF($C78="",0,IF(ISNA(VLOOKUP($A78&amp;"_"&amp;AK$4,'2. หน้างบรายจ่าย'!$C:$K,7,0)),0,VLOOKUP($A78&amp;"_"&amp;AK$4,'2. หน้างบรายจ่าย'!$C:$K,7,0)))</f>
        <v>0</v>
      </c>
      <c r="AL78" s="250">
        <f>IF($C78="",0,IF(ISNA(VLOOKUP($A78&amp;"_"&amp;AL$4,'2. หน้างบรายจ่าย'!$C:$K,8,0)),0,VLOOKUP($A78&amp;"_"&amp;AL$4,'2. หน้างบรายจ่าย'!$C:$K,8,0)))</f>
        <v>0</v>
      </c>
      <c r="AM78" s="248">
        <f>IF($C78="",0,IF(ISNA(VLOOKUP($A78&amp;"_"&amp;AM$4,'2. หน้างบรายจ่าย'!$C:$K,9,0)),0,VLOOKUP($A78&amp;"_"&amp;AM$4,'2. หน้างบรายจ่าย'!$C:$K,9,0)))</f>
        <v>0</v>
      </c>
      <c r="AP78" s="171" t="str">
        <f t="shared" si="25"/>
        <v>No</v>
      </c>
    </row>
    <row r="79" spans="1:42" ht="25.5" hidden="1" customHeight="1">
      <c r="A79" s="210">
        <v>50</v>
      </c>
      <c r="B79" s="244" t="str">
        <f>IF(ISNA(VLOOKUP(A79,'2. หน้างบรายจ่าย'!$A:$K,4,0)),"",TEXT(VLOOKUP(A79,'2. หน้างบรายจ่าย'!$A:$K,4,0),"dd ดดด yy"))</f>
        <v/>
      </c>
      <c r="C79" s="245" t="str">
        <f>IF(ISNA(VLOOKUP(A79,'2. หน้างบรายจ่าย'!$A:$K,8,0)),"",VLOOKUP(A79,'2. หน้างบรายจ่าย'!$A:$K,8,0))</f>
        <v/>
      </c>
      <c r="D79" s="231">
        <f t="shared" si="22"/>
        <v>0</v>
      </c>
      <c r="E79" s="232">
        <f t="shared" si="23"/>
        <v>0</v>
      </c>
      <c r="F79" s="231">
        <f t="shared" si="24"/>
        <v>0</v>
      </c>
      <c r="G79" s="247">
        <f>IF($C79="",0,IF(ISNA(VLOOKUP($A79&amp;"_"&amp;G$4,'2. หน้างบรายจ่าย'!$C:$K,7,0)),0,VLOOKUP($A79&amp;"_"&amp;G$4,'2. หน้างบรายจ่าย'!$C:$K,7,0)))</f>
        <v>0</v>
      </c>
      <c r="H79" s="247">
        <f>IF($C79="",0,IF(ISNA(VLOOKUP($A79&amp;"_"&amp;H$4,'2. หน้างบรายจ่าย'!$C:$K,8,0)),0,VLOOKUP($A79&amp;"_"&amp;H$4,'2. หน้างบรายจ่าย'!$C:$K,8,0)))</f>
        <v>0</v>
      </c>
      <c r="I79" s="247">
        <f>IF($C79="",0,IF(ISNA(VLOOKUP($A79&amp;"_"&amp;I$4,'2. หน้างบรายจ่าย'!$C:$K,9,0)),0,VLOOKUP($A79&amp;"_"&amp;I$4,'2. หน้างบรายจ่าย'!$C:$K,9,0)))</f>
        <v>0</v>
      </c>
      <c r="J79" s="247">
        <f>IF($C79="",0,IF(ISNA(VLOOKUP($A79&amp;"_"&amp;J$4,'2. หน้างบรายจ่าย'!$C:$K,7,0)),0,VLOOKUP($A79&amp;"_"&amp;J$4,'2. หน้างบรายจ่าย'!$C:$K,7,0)))</f>
        <v>0</v>
      </c>
      <c r="K79" s="247">
        <f>IF($C79="",0,IF(ISNA(VLOOKUP($A79&amp;"_"&amp;K$4,'2. หน้างบรายจ่าย'!$C:$K,8,0)),0,VLOOKUP($A79&amp;"_"&amp;K$4,'2. หน้างบรายจ่าย'!$C:$K,8,0)))</f>
        <v>0</v>
      </c>
      <c r="L79" s="247">
        <f>IF($C79="",0,IF(ISNA(VLOOKUP($A79&amp;"_"&amp;L$4,'2. หน้างบรายจ่าย'!$C:$K,9,0)),0,VLOOKUP($A79&amp;"_"&amp;L$4,'2. หน้างบรายจ่าย'!$C:$K,9,0)))</f>
        <v>0</v>
      </c>
      <c r="M79" s="247">
        <f>IF($C79="",0,IF(ISNA(VLOOKUP($A79&amp;"_"&amp;M$4,'2. หน้างบรายจ่าย'!$C:$K,7,0)),0,VLOOKUP($A79&amp;"_"&amp;M$4,'2. หน้างบรายจ่าย'!$C:$K,7,0)))</f>
        <v>0</v>
      </c>
      <c r="N79" s="247">
        <f>IF($C79="",0,IF(ISNA(VLOOKUP($A79&amp;"_"&amp;N$4,'2. หน้างบรายจ่าย'!$C:$K,8,0)),0,VLOOKUP($A79&amp;"_"&amp;N$4,'2. หน้างบรายจ่าย'!$C:$K,8,0)))</f>
        <v>0</v>
      </c>
      <c r="O79" s="248">
        <f>IF($C79="",0,IF(ISNA(VLOOKUP($A79&amp;"_"&amp;O$4,'2. หน้างบรายจ่าย'!$C:$K,9,0)),0,VLOOKUP($A79&amp;"_"&amp;O$4,'2. หน้างบรายจ่าย'!$C:$K,9,0)))</f>
        <v>0</v>
      </c>
      <c r="P79" s="246">
        <f>IF($C79="",0,IF(ISNA(VLOOKUP($A79&amp;"_"&amp;P$4,'2. หน้างบรายจ่าย'!$C:$K,7,0)),0,VLOOKUP($A79&amp;"_"&amp;P$4,'2. หน้างบรายจ่าย'!$C:$K,7,0)))</f>
        <v>0</v>
      </c>
      <c r="Q79" s="249">
        <f>IF($C79="",0,IF(ISNA(VLOOKUP($A79&amp;"_"&amp;Q$4,'2. หน้างบรายจ่าย'!$C:$K,8,0)),0,VLOOKUP($A79&amp;"_"&amp;Q$4,'2. หน้างบรายจ่าย'!$C:$K,8,0)))</f>
        <v>0</v>
      </c>
      <c r="R79" s="247">
        <f>IF($C79="",0,IF(ISNA(VLOOKUP($A79&amp;"_"&amp;R$4,'2. หน้างบรายจ่าย'!$C:$K,9,0)),0,VLOOKUP($A79&amp;"_"&amp;R$4,'2. หน้างบรายจ่าย'!$C:$K,9,0)))</f>
        <v>0</v>
      </c>
      <c r="S79" s="247">
        <f>IF($C79="",0,IF(ISNA(VLOOKUP($A79&amp;"_"&amp;S$4,'2. หน้างบรายจ่าย'!$C:$K,7,0)),0,VLOOKUP($A79&amp;"_"&amp;S$4,'2. หน้างบรายจ่าย'!$C:$K,7,0)))</f>
        <v>0</v>
      </c>
      <c r="T79" s="247">
        <f>IF($C79="",0,IF(ISNA(VLOOKUP($A79&amp;"_"&amp;T$4,'2. หน้างบรายจ่าย'!$C:$K,8,0)),0,VLOOKUP($A79&amp;"_"&amp;T$4,'2. หน้างบรายจ่าย'!$C:$K,8,0)))</f>
        <v>0</v>
      </c>
      <c r="U79" s="247">
        <f>IF($C79="",0,IF(ISNA(VLOOKUP($A79&amp;"_"&amp;U$4,'2. หน้างบรายจ่าย'!$C:$K,9,0)),0,VLOOKUP($A79&amp;"_"&amp;U$4,'2. หน้างบรายจ่าย'!$C:$K,9,0)))</f>
        <v>0</v>
      </c>
      <c r="V79" s="247">
        <f>IF($C79="",0,IF(ISNA(VLOOKUP($A79&amp;"_"&amp;V$4,'2. หน้างบรายจ่าย'!$C:$K,7,0)),0,VLOOKUP($A79&amp;"_"&amp;V$4,'2. หน้างบรายจ่าย'!$C:$K,7,0)))</f>
        <v>0</v>
      </c>
      <c r="W79" s="247">
        <f>IF($C79="",0,IF(ISNA(VLOOKUP($A79&amp;"_"&amp;W$4,'2. หน้างบรายจ่าย'!$C:$K,8,0)),0,VLOOKUP($A79&amp;"_"&amp;W$4,'2. หน้างบรายจ่าย'!$C:$K,8,0)))</f>
        <v>0</v>
      </c>
      <c r="X79" s="247">
        <f>IF($C79="",0,IF(ISNA(VLOOKUP($A79&amp;"_"&amp;X$4,'2. หน้างบรายจ่าย'!$C:$K,9,0)),0,VLOOKUP($A79&amp;"_"&amp;X$4,'2. หน้างบรายจ่าย'!$C:$K,9,0)))</f>
        <v>0</v>
      </c>
      <c r="Y79" s="247">
        <f>IF($C79="",0,IF(ISNA(VLOOKUP($A79&amp;"_"&amp;Y$4,'2. หน้างบรายจ่าย'!$C:$K,7,0)),0,VLOOKUP($A79&amp;"_"&amp;Y$4,'2. หน้างบรายจ่าย'!$C:$K,7,0)))</f>
        <v>0</v>
      </c>
      <c r="Z79" s="247">
        <f>IF($C79="",0,IF(ISNA(VLOOKUP($A79&amp;"_"&amp;Z$4,'2. หน้างบรายจ่าย'!$C:$K,8,0)),0,VLOOKUP($A79&amp;"_"&amp;Z$4,'2. หน้างบรายจ่าย'!$C:$K,8,0)))</f>
        <v>0</v>
      </c>
      <c r="AA79" s="247">
        <f>IF($C79="",0,IF(ISNA(VLOOKUP($A79&amp;"_"&amp;AA$4,'2. หน้างบรายจ่าย'!$C:$K,9,0)),0,VLOOKUP($A79&amp;"_"&amp;AA$4,'2. หน้างบรายจ่าย'!$C:$K,9,0)))</f>
        <v>0</v>
      </c>
      <c r="AB79" s="247">
        <f>IF($C79="",0,IF(ISNA(VLOOKUP($A79&amp;"_"&amp;AB$4,'2. หน้างบรายจ่าย'!$C:$K,7,0)),0,VLOOKUP($A79&amp;"_"&amp;AB$4,'2. หน้างบรายจ่าย'!$C:$K,7,0)))</f>
        <v>0</v>
      </c>
      <c r="AC79" s="251">
        <f>IF($C79="",0,IF(ISNA(VLOOKUP($A79&amp;"_"&amp;AC$4,'2. หน้างบรายจ่าย'!$C:$K,8,0)),0,VLOOKUP($A79&amp;"_"&amp;AC$4,'2. หน้างบรายจ่าย'!$C:$K,8,0)))</f>
        <v>0</v>
      </c>
      <c r="AD79" s="248">
        <f>IF($C79="",0,IF(ISNA(VLOOKUP($A79&amp;"_"&amp;AD$4,'2. หน้างบรายจ่าย'!$C:$K,9,0)),0,VLOOKUP($A79&amp;"_"&amp;AD$4,'2. หน้างบรายจ่าย'!$C:$K,9,0)))</f>
        <v>0</v>
      </c>
      <c r="AE79" s="246">
        <f>IF($C79="",0,IF(ISNA(VLOOKUP($A79&amp;"_"&amp;AE$4,'2. หน้างบรายจ่าย'!$C:$K,7,0)),0,VLOOKUP($A79&amp;"_"&amp;AE$4,'2. หน้างบรายจ่าย'!$C:$K,7,0)))</f>
        <v>0</v>
      </c>
      <c r="AF79" s="250">
        <f>IF($C79="",0,IF(ISNA(VLOOKUP($A79&amp;"_"&amp;AF$4,'2. หน้างบรายจ่าย'!$C:$K,8,0)),0,VLOOKUP($A79&amp;"_"&amp;AF$4,'2. หน้างบรายจ่าย'!$C:$K,8,0)))</f>
        <v>0</v>
      </c>
      <c r="AG79" s="248">
        <f>IF($C79="",0,IF(ISNA(VLOOKUP($A79&amp;"_"&amp;AG$4,'2. หน้างบรายจ่าย'!$C:$K,9,0)),0,VLOOKUP($A79&amp;"_"&amp;AG$4,'2. หน้างบรายจ่าย'!$C:$K,9,0)))</f>
        <v>0</v>
      </c>
      <c r="AH79" s="249">
        <f>IF($C79="",0,IF(ISNA(VLOOKUP($A79&amp;"_"&amp;AH$4,'2. หน้างบรายจ่าย'!$C:$K,7,0)),0,VLOOKUP($A79&amp;"_"&amp;AH$4,'2. หน้างบรายจ่าย'!$C:$K,7,0)))</f>
        <v>0</v>
      </c>
      <c r="AI79" s="250">
        <f>IF($C79="",0,IF(ISNA(VLOOKUP($A79&amp;"_"&amp;AI$4,'2. หน้างบรายจ่าย'!$C:$K,8,0)),0,VLOOKUP($A79&amp;"_"&amp;AI$4,'2. หน้างบรายจ่าย'!$C:$K,8,0)))</f>
        <v>0</v>
      </c>
      <c r="AJ79" s="248">
        <f>IF($C79="",0,IF(ISNA(VLOOKUP($A79&amp;"_"&amp;AJ$4,'2. หน้างบรายจ่าย'!$C:$K,9,0)),0,VLOOKUP($A79&amp;"_"&amp;AJ$4,'2. หน้างบรายจ่าย'!$C:$K,9,0)))</f>
        <v>0</v>
      </c>
      <c r="AK79" s="249">
        <f>IF($C79="",0,IF(ISNA(VLOOKUP($A79&amp;"_"&amp;AK$4,'2. หน้างบรายจ่าย'!$C:$K,7,0)),0,VLOOKUP($A79&amp;"_"&amp;AK$4,'2. หน้างบรายจ่าย'!$C:$K,7,0)))</f>
        <v>0</v>
      </c>
      <c r="AL79" s="250">
        <f>IF($C79="",0,IF(ISNA(VLOOKUP($A79&amp;"_"&amp;AL$4,'2. หน้างบรายจ่าย'!$C:$K,8,0)),0,VLOOKUP($A79&amp;"_"&amp;AL$4,'2. หน้างบรายจ่าย'!$C:$K,8,0)))</f>
        <v>0</v>
      </c>
      <c r="AM79" s="248">
        <f>IF($C79="",0,IF(ISNA(VLOOKUP($A79&amp;"_"&amp;AM$4,'2. หน้างบรายจ่าย'!$C:$K,9,0)),0,VLOOKUP($A79&amp;"_"&amp;AM$4,'2. หน้างบรายจ่าย'!$C:$K,9,0)))</f>
        <v>0</v>
      </c>
      <c r="AP79" s="171" t="str">
        <f t="shared" si="25"/>
        <v>No</v>
      </c>
    </row>
    <row r="80" spans="1:42" ht="25.5" hidden="1" customHeight="1">
      <c r="A80" s="210">
        <v>51</v>
      </c>
      <c r="B80" s="244" t="str">
        <f>IF(ISNA(VLOOKUP(A80,'2. หน้างบรายจ่าย'!$A:$K,4,0)),"",TEXT(VLOOKUP(A80,'2. หน้างบรายจ่าย'!$A:$K,4,0),"dd ดดด yy"))</f>
        <v/>
      </c>
      <c r="C80" s="245" t="str">
        <f>IF(ISNA(VLOOKUP(A80,'2. หน้างบรายจ่าย'!$A:$K,8,0)),"",VLOOKUP(A80,'2. หน้างบรายจ่าย'!$A:$K,8,0))</f>
        <v/>
      </c>
      <c r="D80" s="231">
        <f t="shared" ref="D80:D89" si="26">G80+J80+M80+P80+S80+Y80+AB80+AE80+AH80+AK80+V80</f>
        <v>0</v>
      </c>
      <c r="E80" s="232">
        <f t="shared" ref="E80:E89" si="27">H80+K80+N80+Q80+T80+Z80+AC80+AF80+AI80+AL80+W80</f>
        <v>0</v>
      </c>
      <c r="F80" s="231">
        <f t="shared" ref="F80:F89" si="28">I80+L80+O80+R80+U80+AA80+AD80+AG80+AJ80+AM80+X80</f>
        <v>0</v>
      </c>
      <c r="G80" s="247">
        <f>IF($C80="",0,IF(ISNA(VLOOKUP($A80&amp;"_"&amp;G$4,'2. หน้างบรายจ่าย'!$C:$K,7,0)),0,VLOOKUP($A80&amp;"_"&amp;G$4,'2. หน้างบรายจ่าย'!$C:$K,7,0)))</f>
        <v>0</v>
      </c>
      <c r="H80" s="247">
        <f>IF($C80="",0,IF(ISNA(VLOOKUP($A80&amp;"_"&amp;H$4,'2. หน้างบรายจ่าย'!$C:$K,8,0)),0,VLOOKUP($A80&amp;"_"&amp;H$4,'2. หน้างบรายจ่าย'!$C:$K,8,0)))</f>
        <v>0</v>
      </c>
      <c r="I80" s="247">
        <f>IF($C80="",0,IF(ISNA(VLOOKUP($A80&amp;"_"&amp;I$4,'2. หน้างบรายจ่าย'!$C:$K,9,0)),0,VLOOKUP($A80&amp;"_"&amp;I$4,'2. หน้างบรายจ่าย'!$C:$K,9,0)))</f>
        <v>0</v>
      </c>
      <c r="J80" s="247">
        <f>IF($C80="",0,IF(ISNA(VLOOKUP($A80&amp;"_"&amp;J$4,'2. หน้างบรายจ่าย'!$C:$K,7,0)),0,VLOOKUP($A80&amp;"_"&amp;J$4,'2. หน้างบรายจ่าย'!$C:$K,7,0)))</f>
        <v>0</v>
      </c>
      <c r="K80" s="247">
        <f>IF($C80="",0,IF(ISNA(VLOOKUP($A80&amp;"_"&amp;K$4,'2. หน้างบรายจ่าย'!$C:$K,8,0)),0,VLOOKUP($A80&amp;"_"&amp;K$4,'2. หน้างบรายจ่าย'!$C:$K,8,0)))</f>
        <v>0</v>
      </c>
      <c r="L80" s="247">
        <f>IF($C80="",0,IF(ISNA(VLOOKUP($A80&amp;"_"&amp;L$4,'2. หน้างบรายจ่าย'!$C:$K,9,0)),0,VLOOKUP($A80&amp;"_"&amp;L$4,'2. หน้างบรายจ่าย'!$C:$K,9,0)))</f>
        <v>0</v>
      </c>
      <c r="M80" s="247">
        <f>IF($C80="",0,IF(ISNA(VLOOKUP($A80&amp;"_"&amp;M$4,'2. หน้างบรายจ่าย'!$C:$K,7,0)),0,VLOOKUP($A80&amp;"_"&amp;M$4,'2. หน้างบรายจ่าย'!$C:$K,7,0)))</f>
        <v>0</v>
      </c>
      <c r="N80" s="247">
        <f>IF($C80="",0,IF(ISNA(VLOOKUP($A80&amp;"_"&amp;N$4,'2. หน้างบรายจ่าย'!$C:$K,8,0)),0,VLOOKUP($A80&amp;"_"&amp;N$4,'2. หน้างบรายจ่าย'!$C:$K,8,0)))</f>
        <v>0</v>
      </c>
      <c r="O80" s="248">
        <f>IF($C80="",0,IF(ISNA(VLOOKUP($A80&amp;"_"&amp;O$4,'2. หน้างบรายจ่าย'!$C:$K,9,0)),0,VLOOKUP($A80&amp;"_"&amp;O$4,'2. หน้างบรายจ่าย'!$C:$K,9,0)))</f>
        <v>0</v>
      </c>
      <c r="P80" s="246">
        <f>IF($C80="",0,IF(ISNA(VLOOKUP($A80&amp;"_"&amp;P$4,'2. หน้างบรายจ่าย'!$C:$K,7,0)),0,VLOOKUP($A80&amp;"_"&amp;P$4,'2. หน้างบรายจ่าย'!$C:$K,7,0)))</f>
        <v>0</v>
      </c>
      <c r="Q80" s="249">
        <f>IF($C80="",0,IF(ISNA(VLOOKUP($A80&amp;"_"&amp;Q$4,'2. หน้างบรายจ่าย'!$C:$K,8,0)),0,VLOOKUP($A80&amp;"_"&amp;Q$4,'2. หน้างบรายจ่าย'!$C:$K,8,0)))</f>
        <v>0</v>
      </c>
      <c r="R80" s="247">
        <f>IF($C80="",0,IF(ISNA(VLOOKUP($A80&amp;"_"&amp;R$4,'2. หน้างบรายจ่าย'!$C:$K,9,0)),0,VLOOKUP($A80&amp;"_"&amp;R$4,'2. หน้างบรายจ่าย'!$C:$K,9,0)))</f>
        <v>0</v>
      </c>
      <c r="S80" s="247">
        <f>IF($C80="",0,IF(ISNA(VLOOKUP($A80&amp;"_"&amp;S$4,'2. หน้างบรายจ่าย'!$C:$K,7,0)),0,VLOOKUP($A80&amp;"_"&amp;S$4,'2. หน้างบรายจ่าย'!$C:$K,7,0)))</f>
        <v>0</v>
      </c>
      <c r="T80" s="247">
        <f>IF($C80="",0,IF(ISNA(VLOOKUP($A80&amp;"_"&amp;T$4,'2. หน้างบรายจ่าย'!$C:$K,8,0)),0,VLOOKUP($A80&amp;"_"&amp;T$4,'2. หน้างบรายจ่าย'!$C:$K,8,0)))</f>
        <v>0</v>
      </c>
      <c r="U80" s="247">
        <f>IF($C80="",0,IF(ISNA(VLOOKUP($A80&amp;"_"&amp;U$4,'2. หน้างบรายจ่าย'!$C:$K,9,0)),0,VLOOKUP($A80&amp;"_"&amp;U$4,'2. หน้างบรายจ่าย'!$C:$K,9,0)))</f>
        <v>0</v>
      </c>
      <c r="V80" s="247">
        <f>IF($C80="",0,IF(ISNA(VLOOKUP($A80&amp;"_"&amp;V$4,'2. หน้างบรายจ่าย'!$C:$K,7,0)),0,VLOOKUP($A80&amp;"_"&amp;V$4,'2. หน้างบรายจ่าย'!$C:$K,7,0)))</f>
        <v>0</v>
      </c>
      <c r="W80" s="247">
        <f>IF($C80="",0,IF(ISNA(VLOOKUP($A80&amp;"_"&amp;W$4,'2. หน้างบรายจ่าย'!$C:$K,8,0)),0,VLOOKUP($A80&amp;"_"&amp;W$4,'2. หน้างบรายจ่าย'!$C:$K,8,0)))</f>
        <v>0</v>
      </c>
      <c r="X80" s="247">
        <f>IF($C80="",0,IF(ISNA(VLOOKUP($A80&amp;"_"&amp;X$4,'2. หน้างบรายจ่าย'!$C:$K,9,0)),0,VLOOKUP($A80&amp;"_"&amp;X$4,'2. หน้างบรายจ่าย'!$C:$K,9,0)))</f>
        <v>0</v>
      </c>
      <c r="Y80" s="247">
        <f>IF($C80="",0,IF(ISNA(VLOOKUP($A80&amp;"_"&amp;Y$4,'2. หน้างบรายจ่าย'!$C:$K,7,0)),0,VLOOKUP($A80&amp;"_"&amp;Y$4,'2. หน้างบรายจ่าย'!$C:$K,7,0)))</f>
        <v>0</v>
      </c>
      <c r="Z80" s="247">
        <f>IF($C80="",0,IF(ISNA(VLOOKUP($A80&amp;"_"&amp;Z$4,'2. หน้างบรายจ่าย'!$C:$K,8,0)),0,VLOOKUP($A80&amp;"_"&amp;Z$4,'2. หน้างบรายจ่าย'!$C:$K,8,0)))</f>
        <v>0</v>
      </c>
      <c r="AA80" s="247">
        <f>IF($C80="",0,IF(ISNA(VLOOKUP($A80&amp;"_"&amp;AA$4,'2. หน้างบรายจ่าย'!$C:$K,9,0)),0,VLOOKUP($A80&amp;"_"&amp;AA$4,'2. หน้างบรายจ่าย'!$C:$K,9,0)))</f>
        <v>0</v>
      </c>
      <c r="AB80" s="247">
        <f>IF($C80="",0,IF(ISNA(VLOOKUP($A80&amp;"_"&amp;AB$4,'2. หน้างบรายจ่าย'!$C:$K,7,0)),0,VLOOKUP($A80&amp;"_"&amp;AB$4,'2. หน้างบรายจ่าย'!$C:$K,7,0)))</f>
        <v>0</v>
      </c>
      <c r="AC80" s="251">
        <f>IF($C80="",0,IF(ISNA(VLOOKUP($A80&amp;"_"&amp;AC$4,'2. หน้างบรายจ่าย'!$C:$K,8,0)),0,VLOOKUP($A80&amp;"_"&amp;AC$4,'2. หน้างบรายจ่าย'!$C:$K,8,0)))</f>
        <v>0</v>
      </c>
      <c r="AD80" s="248">
        <f>IF($C80="",0,IF(ISNA(VLOOKUP($A80&amp;"_"&amp;AD$4,'2. หน้างบรายจ่าย'!$C:$K,9,0)),0,VLOOKUP($A80&amp;"_"&amp;AD$4,'2. หน้างบรายจ่าย'!$C:$K,9,0)))</f>
        <v>0</v>
      </c>
      <c r="AE80" s="246">
        <f>IF($C80="",0,IF(ISNA(VLOOKUP($A80&amp;"_"&amp;AE$4,'2. หน้างบรายจ่าย'!$C:$K,7,0)),0,VLOOKUP($A80&amp;"_"&amp;AE$4,'2. หน้างบรายจ่าย'!$C:$K,7,0)))</f>
        <v>0</v>
      </c>
      <c r="AF80" s="250">
        <f>IF($C80="",0,IF(ISNA(VLOOKUP($A80&amp;"_"&amp;AF$4,'2. หน้างบรายจ่าย'!$C:$K,8,0)),0,VLOOKUP($A80&amp;"_"&amp;AF$4,'2. หน้างบรายจ่าย'!$C:$K,8,0)))</f>
        <v>0</v>
      </c>
      <c r="AG80" s="248">
        <f>IF($C80="",0,IF(ISNA(VLOOKUP($A80&amp;"_"&amp;AG$4,'2. หน้างบรายจ่าย'!$C:$K,9,0)),0,VLOOKUP($A80&amp;"_"&amp;AG$4,'2. หน้างบรายจ่าย'!$C:$K,9,0)))</f>
        <v>0</v>
      </c>
      <c r="AH80" s="249">
        <f>IF($C80="",0,IF(ISNA(VLOOKUP($A80&amp;"_"&amp;AH$4,'2. หน้างบรายจ่าย'!$C:$K,7,0)),0,VLOOKUP($A80&amp;"_"&amp;AH$4,'2. หน้างบรายจ่าย'!$C:$K,7,0)))</f>
        <v>0</v>
      </c>
      <c r="AI80" s="250">
        <f>IF($C80="",0,IF(ISNA(VLOOKUP($A80&amp;"_"&amp;AI$4,'2. หน้างบรายจ่าย'!$C:$K,8,0)),0,VLOOKUP($A80&amp;"_"&amp;AI$4,'2. หน้างบรายจ่าย'!$C:$K,8,0)))</f>
        <v>0</v>
      </c>
      <c r="AJ80" s="248">
        <f>IF($C80="",0,IF(ISNA(VLOOKUP($A80&amp;"_"&amp;AJ$4,'2. หน้างบรายจ่าย'!$C:$K,9,0)),0,VLOOKUP($A80&amp;"_"&amp;AJ$4,'2. หน้างบรายจ่าย'!$C:$K,9,0)))</f>
        <v>0</v>
      </c>
      <c r="AK80" s="249">
        <f>IF($C80="",0,IF(ISNA(VLOOKUP($A80&amp;"_"&amp;AK$4,'2. หน้างบรายจ่าย'!$C:$K,7,0)),0,VLOOKUP($A80&amp;"_"&amp;AK$4,'2. หน้างบรายจ่าย'!$C:$K,7,0)))</f>
        <v>0</v>
      </c>
      <c r="AL80" s="250">
        <f>IF($C80="",0,IF(ISNA(VLOOKUP($A80&amp;"_"&amp;AL$4,'2. หน้างบรายจ่าย'!$C:$K,8,0)),0,VLOOKUP($A80&amp;"_"&amp;AL$4,'2. หน้างบรายจ่าย'!$C:$K,8,0)))</f>
        <v>0</v>
      </c>
      <c r="AM80" s="248">
        <f>IF($C80="",0,IF(ISNA(VLOOKUP($A80&amp;"_"&amp;AM$4,'2. หน้างบรายจ่าย'!$C:$K,9,0)),0,VLOOKUP($A80&amp;"_"&amp;AM$4,'2. หน้างบรายจ่าย'!$C:$K,9,0)))</f>
        <v>0</v>
      </c>
      <c r="AP80" s="171" t="str">
        <f t="shared" ref="AP80:AP89" si="29">IF(AO80&lt;&gt;"",AO80,IF(C80&lt;&gt;"","Yes","No"))</f>
        <v>No</v>
      </c>
    </row>
    <row r="81" spans="1:42" ht="25.5" hidden="1" customHeight="1">
      <c r="A81" s="210">
        <v>52</v>
      </c>
      <c r="B81" s="244" t="str">
        <f>IF(ISNA(VLOOKUP(A81,'2. หน้างบรายจ่าย'!$A:$K,4,0)),"",TEXT(VLOOKUP(A81,'2. หน้างบรายจ่าย'!$A:$K,4,0),"dd ดดด yy"))</f>
        <v/>
      </c>
      <c r="C81" s="245" t="str">
        <f>IF(ISNA(VLOOKUP(A81,'2. หน้างบรายจ่าย'!$A:$K,8,0)),"",VLOOKUP(A81,'2. หน้างบรายจ่าย'!$A:$K,8,0))</f>
        <v/>
      </c>
      <c r="D81" s="231">
        <f t="shared" si="26"/>
        <v>0</v>
      </c>
      <c r="E81" s="232">
        <f t="shared" si="27"/>
        <v>0</v>
      </c>
      <c r="F81" s="231">
        <f t="shared" si="28"/>
        <v>0</v>
      </c>
      <c r="G81" s="247">
        <f>IF($C81="",0,IF(ISNA(VLOOKUP($A81&amp;"_"&amp;G$4,'2. หน้างบรายจ่าย'!$C:$K,7,0)),0,VLOOKUP($A81&amp;"_"&amp;G$4,'2. หน้างบรายจ่าย'!$C:$K,7,0)))</f>
        <v>0</v>
      </c>
      <c r="H81" s="247">
        <f>IF($C81="",0,IF(ISNA(VLOOKUP($A81&amp;"_"&amp;H$4,'2. หน้างบรายจ่าย'!$C:$K,8,0)),0,VLOOKUP($A81&amp;"_"&amp;H$4,'2. หน้างบรายจ่าย'!$C:$K,8,0)))</f>
        <v>0</v>
      </c>
      <c r="I81" s="247">
        <f>IF($C81="",0,IF(ISNA(VLOOKUP($A81&amp;"_"&amp;I$4,'2. หน้างบรายจ่าย'!$C:$K,9,0)),0,VLOOKUP($A81&amp;"_"&amp;I$4,'2. หน้างบรายจ่าย'!$C:$K,9,0)))</f>
        <v>0</v>
      </c>
      <c r="J81" s="247">
        <f>IF($C81="",0,IF(ISNA(VLOOKUP($A81&amp;"_"&amp;J$4,'2. หน้างบรายจ่าย'!$C:$K,7,0)),0,VLOOKUP($A81&amp;"_"&amp;J$4,'2. หน้างบรายจ่าย'!$C:$K,7,0)))</f>
        <v>0</v>
      </c>
      <c r="K81" s="247">
        <f>IF($C81="",0,IF(ISNA(VLOOKUP($A81&amp;"_"&amp;K$4,'2. หน้างบรายจ่าย'!$C:$K,8,0)),0,VLOOKUP($A81&amp;"_"&amp;K$4,'2. หน้างบรายจ่าย'!$C:$K,8,0)))</f>
        <v>0</v>
      </c>
      <c r="L81" s="247">
        <f>IF($C81="",0,IF(ISNA(VLOOKUP($A81&amp;"_"&amp;L$4,'2. หน้างบรายจ่าย'!$C:$K,9,0)),0,VLOOKUP($A81&amp;"_"&amp;L$4,'2. หน้างบรายจ่าย'!$C:$K,9,0)))</f>
        <v>0</v>
      </c>
      <c r="M81" s="247">
        <f>IF($C81="",0,IF(ISNA(VLOOKUP($A81&amp;"_"&amp;M$4,'2. หน้างบรายจ่าย'!$C:$K,7,0)),0,VLOOKUP($A81&amp;"_"&amp;M$4,'2. หน้างบรายจ่าย'!$C:$K,7,0)))</f>
        <v>0</v>
      </c>
      <c r="N81" s="247">
        <f>IF($C81="",0,IF(ISNA(VLOOKUP($A81&amp;"_"&amp;N$4,'2. หน้างบรายจ่าย'!$C:$K,8,0)),0,VLOOKUP($A81&amp;"_"&amp;N$4,'2. หน้างบรายจ่าย'!$C:$K,8,0)))</f>
        <v>0</v>
      </c>
      <c r="O81" s="248">
        <f>IF($C81="",0,IF(ISNA(VLOOKUP($A81&amp;"_"&amp;O$4,'2. หน้างบรายจ่าย'!$C:$K,9,0)),0,VLOOKUP($A81&amp;"_"&amp;O$4,'2. หน้างบรายจ่าย'!$C:$K,9,0)))</f>
        <v>0</v>
      </c>
      <c r="P81" s="246">
        <f>IF($C81="",0,IF(ISNA(VLOOKUP($A81&amp;"_"&amp;P$4,'2. หน้างบรายจ่าย'!$C:$K,7,0)),0,VLOOKUP($A81&amp;"_"&amp;P$4,'2. หน้างบรายจ่าย'!$C:$K,7,0)))</f>
        <v>0</v>
      </c>
      <c r="Q81" s="249">
        <f>IF($C81="",0,IF(ISNA(VLOOKUP($A81&amp;"_"&amp;Q$4,'2. หน้างบรายจ่าย'!$C:$K,8,0)),0,VLOOKUP($A81&amp;"_"&amp;Q$4,'2. หน้างบรายจ่าย'!$C:$K,8,0)))</f>
        <v>0</v>
      </c>
      <c r="R81" s="247">
        <f>IF($C81="",0,IF(ISNA(VLOOKUP($A81&amp;"_"&amp;R$4,'2. หน้างบรายจ่าย'!$C:$K,9,0)),0,VLOOKUP($A81&amp;"_"&amp;R$4,'2. หน้างบรายจ่าย'!$C:$K,9,0)))</f>
        <v>0</v>
      </c>
      <c r="S81" s="247">
        <f>IF($C81="",0,IF(ISNA(VLOOKUP($A81&amp;"_"&amp;S$4,'2. หน้างบรายจ่าย'!$C:$K,7,0)),0,VLOOKUP($A81&amp;"_"&amp;S$4,'2. หน้างบรายจ่าย'!$C:$K,7,0)))</f>
        <v>0</v>
      </c>
      <c r="T81" s="247">
        <f>IF($C81="",0,IF(ISNA(VLOOKUP($A81&amp;"_"&amp;T$4,'2. หน้างบรายจ่าย'!$C:$K,8,0)),0,VLOOKUP($A81&amp;"_"&amp;T$4,'2. หน้างบรายจ่าย'!$C:$K,8,0)))</f>
        <v>0</v>
      </c>
      <c r="U81" s="247">
        <f>IF($C81="",0,IF(ISNA(VLOOKUP($A81&amp;"_"&amp;U$4,'2. หน้างบรายจ่าย'!$C:$K,9,0)),0,VLOOKUP($A81&amp;"_"&amp;U$4,'2. หน้างบรายจ่าย'!$C:$K,9,0)))</f>
        <v>0</v>
      </c>
      <c r="V81" s="247">
        <f>IF($C81="",0,IF(ISNA(VLOOKUP($A81&amp;"_"&amp;V$4,'2. หน้างบรายจ่าย'!$C:$K,7,0)),0,VLOOKUP($A81&amp;"_"&amp;V$4,'2. หน้างบรายจ่าย'!$C:$K,7,0)))</f>
        <v>0</v>
      </c>
      <c r="W81" s="247">
        <f>IF($C81="",0,IF(ISNA(VLOOKUP($A81&amp;"_"&amp;W$4,'2. หน้างบรายจ่าย'!$C:$K,8,0)),0,VLOOKUP($A81&amp;"_"&amp;W$4,'2. หน้างบรายจ่าย'!$C:$K,8,0)))</f>
        <v>0</v>
      </c>
      <c r="X81" s="247">
        <f>IF($C81="",0,IF(ISNA(VLOOKUP($A81&amp;"_"&amp;X$4,'2. หน้างบรายจ่าย'!$C:$K,9,0)),0,VLOOKUP($A81&amp;"_"&amp;X$4,'2. หน้างบรายจ่าย'!$C:$K,9,0)))</f>
        <v>0</v>
      </c>
      <c r="Y81" s="247">
        <f>IF($C81="",0,IF(ISNA(VLOOKUP($A81&amp;"_"&amp;Y$4,'2. หน้างบรายจ่าย'!$C:$K,7,0)),0,VLOOKUP($A81&amp;"_"&amp;Y$4,'2. หน้างบรายจ่าย'!$C:$K,7,0)))</f>
        <v>0</v>
      </c>
      <c r="Z81" s="247">
        <f>IF($C81="",0,IF(ISNA(VLOOKUP($A81&amp;"_"&amp;Z$4,'2. หน้างบรายจ่าย'!$C:$K,8,0)),0,VLOOKUP($A81&amp;"_"&amp;Z$4,'2. หน้างบรายจ่าย'!$C:$K,8,0)))</f>
        <v>0</v>
      </c>
      <c r="AA81" s="247">
        <f>IF($C81="",0,IF(ISNA(VLOOKUP($A81&amp;"_"&amp;AA$4,'2. หน้างบรายจ่าย'!$C:$K,9,0)),0,VLOOKUP($A81&amp;"_"&amp;AA$4,'2. หน้างบรายจ่าย'!$C:$K,9,0)))</f>
        <v>0</v>
      </c>
      <c r="AB81" s="247">
        <f>IF($C81="",0,IF(ISNA(VLOOKUP($A81&amp;"_"&amp;AB$4,'2. หน้างบรายจ่าย'!$C:$K,7,0)),0,VLOOKUP($A81&amp;"_"&amp;AB$4,'2. หน้างบรายจ่าย'!$C:$K,7,0)))</f>
        <v>0</v>
      </c>
      <c r="AC81" s="251">
        <f>IF($C81="",0,IF(ISNA(VLOOKUP($A81&amp;"_"&amp;AC$4,'2. หน้างบรายจ่าย'!$C:$K,8,0)),0,VLOOKUP($A81&amp;"_"&amp;AC$4,'2. หน้างบรายจ่าย'!$C:$K,8,0)))</f>
        <v>0</v>
      </c>
      <c r="AD81" s="248">
        <f>IF($C81="",0,IF(ISNA(VLOOKUP($A81&amp;"_"&amp;AD$4,'2. หน้างบรายจ่าย'!$C:$K,9,0)),0,VLOOKUP($A81&amp;"_"&amp;AD$4,'2. หน้างบรายจ่าย'!$C:$K,9,0)))</f>
        <v>0</v>
      </c>
      <c r="AE81" s="246">
        <f>IF($C81="",0,IF(ISNA(VLOOKUP($A81&amp;"_"&amp;AE$4,'2. หน้างบรายจ่าย'!$C:$K,7,0)),0,VLOOKUP($A81&amp;"_"&amp;AE$4,'2. หน้างบรายจ่าย'!$C:$K,7,0)))</f>
        <v>0</v>
      </c>
      <c r="AF81" s="250">
        <f>IF($C81="",0,IF(ISNA(VLOOKUP($A81&amp;"_"&amp;AF$4,'2. หน้างบรายจ่าย'!$C:$K,8,0)),0,VLOOKUP($A81&amp;"_"&amp;AF$4,'2. หน้างบรายจ่าย'!$C:$K,8,0)))</f>
        <v>0</v>
      </c>
      <c r="AG81" s="248">
        <f>IF($C81="",0,IF(ISNA(VLOOKUP($A81&amp;"_"&amp;AG$4,'2. หน้างบรายจ่าย'!$C:$K,9,0)),0,VLOOKUP($A81&amp;"_"&amp;AG$4,'2. หน้างบรายจ่าย'!$C:$K,9,0)))</f>
        <v>0</v>
      </c>
      <c r="AH81" s="249">
        <f>IF($C81="",0,IF(ISNA(VLOOKUP($A81&amp;"_"&amp;AH$4,'2. หน้างบรายจ่าย'!$C:$K,7,0)),0,VLOOKUP($A81&amp;"_"&amp;AH$4,'2. หน้างบรายจ่าย'!$C:$K,7,0)))</f>
        <v>0</v>
      </c>
      <c r="AI81" s="250">
        <f>IF($C81="",0,IF(ISNA(VLOOKUP($A81&amp;"_"&amp;AI$4,'2. หน้างบรายจ่าย'!$C:$K,8,0)),0,VLOOKUP($A81&amp;"_"&amp;AI$4,'2. หน้างบรายจ่าย'!$C:$K,8,0)))</f>
        <v>0</v>
      </c>
      <c r="AJ81" s="248">
        <f>IF($C81="",0,IF(ISNA(VLOOKUP($A81&amp;"_"&amp;AJ$4,'2. หน้างบรายจ่าย'!$C:$K,9,0)),0,VLOOKUP($A81&amp;"_"&amp;AJ$4,'2. หน้างบรายจ่าย'!$C:$K,9,0)))</f>
        <v>0</v>
      </c>
      <c r="AK81" s="249">
        <f>IF($C81="",0,IF(ISNA(VLOOKUP($A81&amp;"_"&amp;AK$4,'2. หน้างบรายจ่าย'!$C:$K,7,0)),0,VLOOKUP($A81&amp;"_"&amp;AK$4,'2. หน้างบรายจ่าย'!$C:$K,7,0)))</f>
        <v>0</v>
      </c>
      <c r="AL81" s="250">
        <f>IF($C81="",0,IF(ISNA(VLOOKUP($A81&amp;"_"&amp;AL$4,'2. หน้างบรายจ่าย'!$C:$K,8,0)),0,VLOOKUP($A81&amp;"_"&amp;AL$4,'2. หน้างบรายจ่าย'!$C:$K,8,0)))</f>
        <v>0</v>
      </c>
      <c r="AM81" s="248">
        <f>IF($C81="",0,IF(ISNA(VLOOKUP($A81&amp;"_"&amp;AM$4,'2. หน้างบรายจ่าย'!$C:$K,9,0)),0,VLOOKUP($A81&amp;"_"&amp;AM$4,'2. หน้างบรายจ่าย'!$C:$K,9,0)))</f>
        <v>0</v>
      </c>
      <c r="AP81" s="171" t="str">
        <f t="shared" si="29"/>
        <v>No</v>
      </c>
    </row>
    <row r="82" spans="1:42" ht="25.5" hidden="1" customHeight="1">
      <c r="A82" s="210">
        <v>53</v>
      </c>
      <c r="B82" s="244" t="str">
        <f>IF(ISNA(VLOOKUP(A82,'2. หน้างบรายจ่าย'!$A:$K,4,0)),"",TEXT(VLOOKUP(A82,'2. หน้างบรายจ่าย'!$A:$K,4,0),"dd ดดด yy"))</f>
        <v/>
      </c>
      <c r="C82" s="245" t="str">
        <f>IF(ISNA(VLOOKUP(A82,'2. หน้างบรายจ่าย'!$A:$K,8,0)),"",VLOOKUP(A82,'2. หน้างบรายจ่าย'!$A:$K,8,0))</f>
        <v/>
      </c>
      <c r="D82" s="231">
        <f t="shared" si="26"/>
        <v>0</v>
      </c>
      <c r="E82" s="232">
        <f t="shared" si="27"/>
        <v>0</v>
      </c>
      <c r="F82" s="231">
        <f t="shared" si="28"/>
        <v>0</v>
      </c>
      <c r="G82" s="247">
        <f>IF($C82="",0,IF(ISNA(VLOOKUP($A82&amp;"_"&amp;G$4,'2. หน้างบรายจ่าย'!$C:$K,7,0)),0,VLOOKUP($A82&amp;"_"&amp;G$4,'2. หน้างบรายจ่าย'!$C:$K,7,0)))</f>
        <v>0</v>
      </c>
      <c r="H82" s="247">
        <f>IF($C82="",0,IF(ISNA(VLOOKUP($A82&amp;"_"&amp;H$4,'2. หน้างบรายจ่าย'!$C:$K,8,0)),0,VLOOKUP($A82&amp;"_"&amp;H$4,'2. หน้างบรายจ่าย'!$C:$K,8,0)))</f>
        <v>0</v>
      </c>
      <c r="I82" s="247">
        <f>IF($C82="",0,IF(ISNA(VLOOKUP($A82&amp;"_"&amp;I$4,'2. หน้างบรายจ่าย'!$C:$K,9,0)),0,VLOOKUP($A82&amp;"_"&amp;I$4,'2. หน้างบรายจ่าย'!$C:$K,9,0)))</f>
        <v>0</v>
      </c>
      <c r="J82" s="247">
        <f>IF($C82="",0,IF(ISNA(VLOOKUP($A82&amp;"_"&amp;J$4,'2. หน้างบรายจ่าย'!$C:$K,7,0)),0,VLOOKUP($A82&amp;"_"&amp;J$4,'2. หน้างบรายจ่าย'!$C:$K,7,0)))</f>
        <v>0</v>
      </c>
      <c r="K82" s="247">
        <f>IF($C82="",0,IF(ISNA(VLOOKUP($A82&amp;"_"&amp;K$4,'2. หน้างบรายจ่าย'!$C:$K,8,0)),0,VLOOKUP($A82&amp;"_"&amp;K$4,'2. หน้างบรายจ่าย'!$C:$K,8,0)))</f>
        <v>0</v>
      </c>
      <c r="L82" s="247">
        <f>IF($C82="",0,IF(ISNA(VLOOKUP($A82&amp;"_"&amp;L$4,'2. หน้างบรายจ่าย'!$C:$K,9,0)),0,VLOOKUP($A82&amp;"_"&amp;L$4,'2. หน้างบรายจ่าย'!$C:$K,9,0)))</f>
        <v>0</v>
      </c>
      <c r="M82" s="247">
        <f>IF($C82="",0,IF(ISNA(VLOOKUP($A82&amp;"_"&amp;M$4,'2. หน้างบรายจ่าย'!$C:$K,7,0)),0,VLOOKUP($A82&amp;"_"&amp;M$4,'2. หน้างบรายจ่าย'!$C:$K,7,0)))</f>
        <v>0</v>
      </c>
      <c r="N82" s="247">
        <f>IF($C82="",0,IF(ISNA(VLOOKUP($A82&amp;"_"&amp;N$4,'2. หน้างบรายจ่าย'!$C:$K,8,0)),0,VLOOKUP($A82&amp;"_"&amp;N$4,'2. หน้างบรายจ่าย'!$C:$K,8,0)))</f>
        <v>0</v>
      </c>
      <c r="O82" s="248">
        <f>IF($C82="",0,IF(ISNA(VLOOKUP($A82&amp;"_"&amp;O$4,'2. หน้างบรายจ่าย'!$C:$K,9,0)),0,VLOOKUP($A82&amp;"_"&amp;O$4,'2. หน้างบรายจ่าย'!$C:$K,9,0)))</f>
        <v>0</v>
      </c>
      <c r="P82" s="246">
        <f>IF($C82="",0,IF(ISNA(VLOOKUP($A82&amp;"_"&amp;P$4,'2. หน้างบรายจ่าย'!$C:$K,7,0)),0,VLOOKUP($A82&amp;"_"&amp;P$4,'2. หน้างบรายจ่าย'!$C:$K,7,0)))</f>
        <v>0</v>
      </c>
      <c r="Q82" s="249">
        <f>IF($C82="",0,IF(ISNA(VLOOKUP($A82&amp;"_"&amp;Q$4,'2. หน้างบรายจ่าย'!$C:$K,8,0)),0,VLOOKUP($A82&amp;"_"&amp;Q$4,'2. หน้างบรายจ่าย'!$C:$K,8,0)))</f>
        <v>0</v>
      </c>
      <c r="R82" s="247">
        <f>IF($C82="",0,IF(ISNA(VLOOKUP($A82&amp;"_"&amp;R$4,'2. หน้างบรายจ่าย'!$C:$K,9,0)),0,VLOOKUP($A82&amp;"_"&amp;R$4,'2. หน้างบรายจ่าย'!$C:$K,9,0)))</f>
        <v>0</v>
      </c>
      <c r="S82" s="247">
        <f>IF($C82="",0,IF(ISNA(VLOOKUP($A82&amp;"_"&amp;S$4,'2. หน้างบรายจ่าย'!$C:$K,7,0)),0,VLOOKUP($A82&amp;"_"&amp;S$4,'2. หน้างบรายจ่าย'!$C:$K,7,0)))</f>
        <v>0</v>
      </c>
      <c r="T82" s="247">
        <f>IF($C82="",0,IF(ISNA(VLOOKUP($A82&amp;"_"&amp;T$4,'2. หน้างบรายจ่าย'!$C:$K,8,0)),0,VLOOKUP($A82&amp;"_"&amp;T$4,'2. หน้างบรายจ่าย'!$C:$K,8,0)))</f>
        <v>0</v>
      </c>
      <c r="U82" s="247">
        <f>IF($C82="",0,IF(ISNA(VLOOKUP($A82&amp;"_"&amp;U$4,'2. หน้างบรายจ่าย'!$C:$K,9,0)),0,VLOOKUP($A82&amp;"_"&amp;U$4,'2. หน้างบรายจ่าย'!$C:$K,9,0)))</f>
        <v>0</v>
      </c>
      <c r="V82" s="247">
        <f>IF($C82="",0,IF(ISNA(VLOOKUP($A82&amp;"_"&amp;V$4,'2. หน้างบรายจ่าย'!$C:$K,7,0)),0,VLOOKUP($A82&amp;"_"&amp;V$4,'2. หน้างบรายจ่าย'!$C:$K,7,0)))</f>
        <v>0</v>
      </c>
      <c r="W82" s="247">
        <f>IF($C82="",0,IF(ISNA(VLOOKUP($A82&amp;"_"&amp;W$4,'2. หน้างบรายจ่าย'!$C:$K,8,0)),0,VLOOKUP($A82&amp;"_"&amp;W$4,'2. หน้างบรายจ่าย'!$C:$K,8,0)))</f>
        <v>0</v>
      </c>
      <c r="X82" s="247">
        <f>IF($C82="",0,IF(ISNA(VLOOKUP($A82&amp;"_"&amp;X$4,'2. หน้างบรายจ่าย'!$C:$K,9,0)),0,VLOOKUP($A82&amp;"_"&amp;X$4,'2. หน้างบรายจ่าย'!$C:$K,9,0)))</f>
        <v>0</v>
      </c>
      <c r="Y82" s="247">
        <f>IF($C82="",0,IF(ISNA(VLOOKUP($A82&amp;"_"&amp;Y$4,'2. หน้างบรายจ่าย'!$C:$K,7,0)),0,VLOOKUP($A82&amp;"_"&amp;Y$4,'2. หน้างบรายจ่าย'!$C:$K,7,0)))</f>
        <v>0</v>
      </c>
      <c r="Z82" s="247">
        <f>IF($C82="",0,IF(ISNA(VLOOKUP($A82&amp;"_"&amp;Z$4,'2. หน้างบรายจ่าย'!$C:$K,8,0)),0,VLOOKUP($A82&amp;"_"&amp;Z$4,'2. หน้างบรายจ่าย'!$C:$K,8,0)))</f>
        <v>0</v>
      </c>
      <c r="AA82" s="247">
        <f>IF($C82="",0,IF(ISNA(VLOOKUP($A82&amp;"_"&amp;AA$4,'2. หน้างบรายจ่าย'!$C:$K,9,0)),0,VLOOKUP($A82&amp;"_"&amp;AA$4,'2. หน้างบรายจ่าย'!$C:$K,9,0)))</f>
        <v>0</v>
      </c>
      <c r="AB82" s="247">
        <f>IF($C82="",0,IF(ISNA(VLOOKUP($A82&amp;"_"&amp;AB$4,'2. หน้างบรายจ่าย'!$C:$K,7,0)),0,VLOOKUP($A82&amp;"_"&amp;AB$4,'2. หน้างบรายจ่าย'!$C:$K,7,0)))</f>
        <v>0</v>
      </c>
      <c r="AC82" s="251">
        <f>IF($C82="",0,IF(ISNA(VLOOKUP($A82&amp;"_"&amp;AC$4,'2. หน้างบรายจ่าย'!$C:$K,8,0)),0,VLOOKUP($A82&amp;"_"&amp;AC$4,'2. หน้างบรายจ่าย'!$C:$K,8,0)))</f>
        <v>0</v>
      </c>
      <c r="AD82" s="248">
        <f>IF($C82="",0,IF(ISNA(VLOOKUP($A82&amp;"_"&amp;AD$4,'2. หน้างบรายจ่าย'!$C:$K,9,0)),0,VLOOKUP($A82&amp;"_"&amp;AD$4,'2. หน้างบรายจ่าย'!$C:$K,9,0)))</f>
        <v>0</v>
      </c>
      <c r="AE82" s="246">
        <f>IF($C82="",0,IF(ISNA(VLOOKUP($A82&amp;"_"&amp;AE$4,'2. หน้างบรายจ่าย'!$C:$K,7,0)),0,VLOOKUP($A82&amp;"_"&amp;AE$4,'2. หน้างบรายจ่าย'!$C:$K,7,0)))</f>
        <v>0</v>
      </c>
      <c r="AF82" s="250">
        <f>IF($C82="",0,IF(ISNA(VLOOKUP($A82&amp;"_"&amp;AF$4,'2. หน้างบรายจ่าย'!$C:$K,8,0)),0,VLOOKUP($A82&amp;"_"&amp;AF$4,'2. หน้างบรายจ่าย'!$C:$K,8,0)))</f>
        <v>0</v>
      </c>
      <c r="AG82" s="248">
        <f>IF($C82="",0,IF(ISNA(VLOOKUP($A82&amp;"_"&amp;AG$4,'2. หน้างบรายจ่าย'!$C:$K,9,0)),0,VLOOKUP($A82&amp;"_"&amp;AG$4,'2. หน้างบรายจ่าย'!$C:$K,9,0)))</f>
        <v>0</v>
      </c>
      <c r="AH82" s="249">
        <f>IF($C82="",0,IF(ISNA(VLOOKUP($A82&amp;"_"&amp;AH$4,'2. หน้างบรายจ่าย'!$C:$K,7,0)),0,VLOOKUP($A82&amp;"_"&amp;AH$4,'2. หน้างบรายจ่าย'!$C:$K,7,0)))</f>
        <v>0</v>
      </c>
      <c r="AI82" s="250">
        <f>IF($C82="",0,IF(ISNA(VLOOKUP($A82&amp;"_"&amp;AI$4,'2. หน้างบรายจ่าย'!$C:$K,8,0)),0,VLOOKUP($A82&amp;"_"&amp;AI$4,'2. หน้างบรายจ่าย'!$C:$K,8,0)))</f>
        <v>0</v>
      </c>
      <c r="AJ82" s="248">
        <f>IF($C82="",0,IF(ISNA(VLOOKUP($A82&amp;"_"&amp;AJ$4,'2. หน้างบรายจ่าย'!$C:$K,9,0)),0,VLOOKUP($A82&amp;"_"&amp;AJ$4,'2. หน้างบรายจ่าย'!$C:$K,9,0)))</f>
        <v>0</v>
      </c>
      <c r="AK82" s="249">
        <f>IF($C82="",0,IF(ISNA(VLOOKUP($A82&amp;"_"&amp;AK$4,'2. หน้างบรายจ่าย'!$C:$K,7,0)),0,VLOOKUP($A82&amp;"_"&amp;AK$4,'2. หน้างบรายจ่าย'!$C:$K,7,0)))</f>
        <v>0</v>
      </c>
      <c r="AL82" s="250">
        <f>IF($C82="",0,IF(ISNA(VLOOKUP($A82&amp;"_"&amp;AL$4,'2. หน้างบรายจ่าย'!$C:$K,8,0)),0,VLOOKUP($A82&amp;"_"&amp;AL$4,'2. หน้างบรายจ่าย'!$C:$K,8,0)))</f>
        <v>0</v>
      </c>
      <c r="AM82" s="248">
        <f>IF($C82="",0,IF(ISNA(VLOOKUP($A82&amp;"_"&amp;AM$4,'2. หน้างบรายจ่าย'!$C:$K,9,0)),0,VLOOKUP($A82&amp;"_"&amp;AM$4,'2. หน้างบรายจ่าย'!$C:$K,9,0)))</f>
        <v>0</v>
      </c>
      <c r="AP82" s="171" t="str">
        <f t="shared" si="29"/>
        <v>No</v>
      </c>
    </row>
    <row r="83" spans="1:42" ht="25.5" hidden="1" customHeight="1">
      <c r="A83" s="210">
        <v>54</v>
      </c>
      <c r="B83" s="244" t="str">
        <f>IF(ISNA(VLOOKUP(A83,'2. หน้างบรายจ่าย'!$A:$K,4,0)),"",TEXT(VLOOKUP(A83,'2. หน้างบรายจ่าย'!$A:$K,4,0),"dd ดดด yy"))</f>
        <v/>
      </c>
      <c r="C83" s="245" t="str">
        <f>IF(ISNA(VLOOKUP(A83,'2. หน้างบรายจ่าย'!$A:$K,8,0)),"",VLOOKUP(A83,'2. หน้างบรายจ่าย'!$A:$K,8,0))</f>
        <v/>
      </c>
      <c r="D83" s="231">
        <f t="shared" si="26"/>
        <v>0</v>
      </c>
      <c r="E83" s="232">
        <f t="shared" si="27"/>
        <v>0</v>
      </c>
      <c r="F83" s="231">
        <f t="shared" si="28"/>
        <v>0</v>
      </c>
      <c r="G83" s="247">
        <f>IF($C83="",0,IF(ISNA(VLOOKUP($A83&amp;"_"&amp;G$4,'2. หน้างบรายจ่าย'!$C:$K,7,0)),0,VLOOKUP($A83&amp;"_"&amp;G$4,'2. หน้างบรายจ่าย'!$C:$K,7,0)))</f>
        <v>0</v>
      </c>
      <c r="H83" s="247">
        <f>IF($C83="",0,IF(ISNA(VLOOKUP($A83&amp;"_"&amp;H$4,'2. หน้างบรายจ่าย'!$C:$K,8,0)),0,VLOOKUP($A83&amp;"_"&amp;H$4,'2. หน้างบรายจ่าย'!$C:$K,8,0)))</f>
        <v>0</v>
      </c>
      <c r="I83" s="247">
        <f>IF($C83="",0,IF(ISNA(VLOOKUP($A83&amp;"_"&amp;I$4,'2. หน้างบรายจ่าย'!$C:$K,9,0)),0,VLOOKUP($A83&amp;"_"&amp;I$4,'2. หน้างบรายจ่าย'!$C:$K,9,0)))</f>
        <v>0</v>
      </c>
      <c r="J83" s="247">
        <f>IF($C83="",0,IF(ISNA(VLOOKUP($A83&amp;"_"&amp;J$4,'2. หน้างบรายจ่าย'!$C:$K,7,0)),0,VLOOKUP($A83&amp;"_"&amp;J$4,'2. หน้างบรายจ่าย'!$C:$K,7,0)))</f>
        <v>0</v>
      </c>
      <c r="K83" s="247">
        <f>IF($C83="",0,IF(ISNA(VLOOKUP($A83&amp;"_"&amp;K$4,'2. หน้างบรายจ่าย'!$C:$K,8,0)),0,VLOOKUP($A83&amp;"_"&amp;K$4,'2. หน้างบรายจ่าย'!$C:$K,8,0)))</f>
        <v>0</v>
      </c>
      <c r="L83" s="247">
        <f>IF($C83="",0,IF(ISNA(VLOOKUP($A83&amp;"_"&amp;L$4,'2. หน้างบรายจ่าย'!$C:$K,9,0)),0,VLOOKUP($A83&amp;"_"&amp;L$4,'2. หน้างบรายจ่าย'!$C:$K,9,0)))</f>
        <v>0</v>
      </c>
      <c r="M83" s="247">
        <f>IF($C83="",0,IF(ISNA(VLOOKUP($A83&amp;"_"&amp;M$4,'2. หน้างบรายจ่าย'!$C:$K,7,0)),0,VLOOKUP($A83&amp;"_"&amp;M$4,'2. หน้างบรายจ่าย'!$C:$K,7,0)))</f>
        <v>0</v>
      </c>
      <c r="N83" s="247">
        <f>IF($C83="",0,IF(ISNA(VLOOKUP($A83&amp;"_"&amp;N$4,'2. หน้างบรายจ่าย'!$C:$K,8,0)),0,VLOOKUP($A83&amp;"_"&amp;N$4,'2. หน้างบรายจ่าย'!$C:$K,8,0)))</f>
        <v>0</v>
      </c>
      <c r="O83" s="248">
        <f>IF($C83="",0,IF(ISNA(VLOOKUP($A83&amp;"_"&amp;O$4,'2. หน้างบรายจ่าย'!$C:$K,9,0)),0,VLOOKUP($A83&amp;"_"&amp;O$4,'2. หน้างบรายจ่าย'!$C:$K,9,0)))</f>
        <v>0</v>
      </c>
      <c r="P83" s="246">
        <f>IF($C83="",0,IF(ISNA(VLOOKUP($A83&amp;"_"&amp;P$4,'2. หน้างบรายจ่าย'!$C:$K,7,0)),0,VLOOKUP($A83&amp;"_"&amp;P$4,'2. หน้างบรายจ่าย'!$C:$K,7,0)))</f>
        <v>0</v>
      </c>
      <c r="Q83" s="249">
        <f>IF($C83="",0,IF(ISNA(VLOOKUP($A83&amp;"_"&amp;Q$4,'2. หน้างบรายจ่าย'!$C:$K,8,0)),0,VLOOKUP($A83&amp;"_"&amp;Q$4,'2. หน้างบรายจ่าย'!$C:$K,8,0)))</f>
        <v>0</v>
      </c>
      <c r="R83" s="247">
        <f>IF($C83="",0,IF(ISNA(VLOOKUP($A83&amp;"_"&amp;R$4,'2. หน้างบรายจ่าย'!$C:$K,9,0)),0,VLOOKUP($A83&amp;"_"&amp;R$4,'2. หน้างบรายจ่าย'!$C:$K,9,0)))</f>
        <v>0</v>
      </c>
      <c r="S83" s="247">
        <f>IF($C83="",0,IF(ISNA(VLOOKUP($A83&amp;"_"&amp;S$4,'2. หน้างบรายจ่าย'!$C:$K,7,0)),0,VLOOKUP($A83&amp;"_"&amp;S$4,'2. หน้างบรายจ่าย'!$C:$K,7,0)))</f>
        <v>0</v>
      </c>
      <c r="T83" s="247">
        <f>IF($C83="",0,IF(ISNA(VLOOKUP($A83&amp;"_"&amp;T$4,'2. หน้างบรายจ่าย'!$C:$K,8,0)),0,VLOOKUP($A83&amp;"_"&amp;T$4,'2. หน้างบรายจ่าย'!$C:$K,8,0)))</f>
        <v>0</v>
      </c>
      <c r="U83" s="247">
        <f>IF($C83="",0,IF(ISNA(VLOOKUP($A83&amp;"_"&amp;U$4,'2. หน้างบรายจ่าย'!$C:$K,9,0)),0,VLOOKUP($A83&amp;"_"&amp;U$4,'2. หน้างบรายจ่าย'!$C:$K,9,0)))</f>
        <v>0</v>
      </c>
      <c r="V83" s="247">
        <f>IF($C83="",0,IF(ISNA(VLOOKUP($A83&amp;"_"&amp;V$4,'2. หน้างบรายจ่าย'!$C:$K,7,0)),0,VLOOKUP($A83&amp;"_"&amp;V$4,'2. หน้างบรายจ่าย'!$C:$K,7,0)))</f>
        <v>0</v>
      </c>
      <c r="W83" s="247">
        <f>IF($C83="",0,IF(ISNA(VLOOKUP($A83&amp;"_"&amp;W$4,'2. หน้างบรายจ่าย'!$C:$K,8,0)),0,VLOOKUP($A83&amp;"_"&amp;W$4,'2. หน้างบรายจ่าย'!$C:$K,8,0)))</f>
        <v>0</v>
      </c>
      <c r="X83" s="247">
        <f>IF($C83="",0,IF(ISNA(VLOOKUP($A83&amp;"_"&amp;X$4,'2. หน้างบรายจ่าย'!$C:$K,9,0)),0,VLOOKUP($A83&amp;"_"&amp;X$4,'2. หน้างบรายจ่าย'!$C:$K,9,0)))</f>
        <v>0</v>
      </c>
      <c r="Y83" s="247">
        <f>IF($C83="",0,IF(ISNA(VLOOKUP($A83&amp;"_"&amp;Y$4,'2. หน้างบรายจ่าย'!$C:$K,7,0)),0,VLOOKUP($A83&amp;"_"&amp;Y$4,'2. หน้างบรายจ่าย'!$C:$K,7,0)))</f>
        <v>0</v>
      </c>
      <c r="Z83" s="247">
        <f>IF($C83="",0,IF(ISNA(VLOOKUP($A83&amp;"_"&amp;Z$4,'2. หน้างบรายจ่าย'!$C:$K,8,0)),0,VLOOKUP($A83&amp;"_"&amp;Z$4,'2. หน้างบรายจ่าย'!$C:$K,8,0)))</f>
        <v>0</v>
      </c>
      <c r="AA83" s="247">
        <f>IF($C83="",0,IF(ISNA(VLOOKUP($A83&amp;"_"&amp;AA$4,'2. หน้างบรายจ่าย'!$C:$K,9,0)),0,VLOOKUP($A83&amp;"_"&amp;AA$4,'2. หน้างบรายจ่าย'!$C:$K,9,0)))</f>
        <v>0</v>
      </c>
      <c r="AB83" s="247">
        <f>IF($C83="",0,IF(ISNA(VLOOKUP($A83&amp;"_"&amp;AB$4,'2. หน้างบรายจ่าย'!$C:$K,7,0)),0,VLOOKUP($A83&amp;"_"&amp;AB$4,'2. หน้างบรายจ่าย'!$C:$K,7,0)))</f>
        <v>0</v>
      </c>
      <c r="AC83" s="251">
        <f>IF($C83="",0,IF(ISNA(VLOOKUP($A83&amp;"_"&amp;AC$4,'2. หน้างบรายจ่าย'!$C:$K,8,0)),0,VLOOKUP($A83&amp;"_"&amp;AC$4,'2. หน้างบรายจ่าย'!$C:$K,8,0)))</f>
        <v>0</v>
      </c>
      <c r="AD83" s="248">
        <f>IF($C83="",0,IF(ISNA(VLOOKUP($A83&amp;"_"&amp;AD$4,'2. หน้างบรายจ่าย'!$C:$K,9,0)),0,VLOOKUP($A83&amp;"_"&amp;AD$4,'2. หน้างบรายจ่าย'!$C:$K,9,0)))</f>
        <v>0</v>
      </c>
      <c r="AE83" s="246">
        <f>IF($C83="",0,IF(ISNA(VLOOKUP($A83&amp;"_"&amp;AE$4,'2. หน้างบรายจ่าย'!$C:$K,7,0)),0,VLOOKUP($A83&amp;"_"&amp;AE$4,'2. หน้างบรายจ่าย'!$C:$K,7,0)))</f>
        <v>0</v>
      </c>
      <c r="AF83" s="250">
        <f>IF($C83="",0,IF(ISNA(VLOOKUP($A83&amp;"_"&amp;AF$4,'2. หน้างบรายจ่าย'!$C:$K,8,0)),0,VLOOKUP($A83&amp;"_"&amp;AF$4,'2. หน้างบรายจ่าย'!$C:$K,8,0)))</f>
        <v>0</v>
      </c>
      <c r="AG83" s="248">
        <f>IF($C83="",0,IF(ISNA(VLOOKUP($A83&amp;"_"&amp;AG$4,'2. หน้างบรายจ่าย'!$C:$K,9,0)),0,VLOOKUP($A83&amp;"_"&amp;AG$4,'2. หน้างบรายจ่าย'!$C:$K,9,0)))</f>
        <v>0</v>
      </c>
      <c r="AH83" s="249">
        <f>IF($C83="",0,IF(ISNA(VLOOKUP($A83&amp;"_"&amp;AH$4,'2. หน้างบรายจ่าย'!$C:$K,7,0)),0,VLOOKUP($A83&amp;"_"&amp;AH$4,'2. หน้างบรายจ่าย'!$C:$K,7,0)))</f>
        <v>0</v>
      </c>
      <c r="AI83" s="250">
        <f>IF($C83="",0,IF(ISNA(VLOOKUP($A83&amp;"_"&amp;AI$4,'2. หน้างบรายจ่าย'!$C:$K,8,0)),0,VLOOKUP($A83&amp;"_"&amp;AI$4,'2. หน้างบรายจ่าย'!$C:$K,8,0)))</f>
        <v>0</v>
      </c>
      <c r="AJ83" s="248">
        <f>IF($C83="",0,IF(ISNA(VLOOKUP($A83&amp;"_"&amp;AJ$4,'2. หน้างบรายจ่าย'!$C:$K,9,0)),0,VLOOKUP($A83&amp;"_"&amp;AJ$4,'2. หน้างบรายจ่าย'!$C:$K,9,0)))</f>
        <v>0</v>
      </c>
      <c r="AK83" s="249">
        <f>IF($C83="",0,IF(ISNA(VLOOKUP($A83&amp;"_"&amp;AK$4,'2. หน้างบรายจ่าย'!$C:$K,7,0)),0,VLOOKUP($A83&amp;"_"&amp;AK$4,'2. หน้างบรายจ่าย'!$C:$K,7,0)))</f>
        <v>0</v>
      </c>
      <c r="AL83" s="250">
        <f>IF($C83="",0,IF(ISNA(VLOOKUP($A83&amp;"_"&amp;AL$4,'2. หน้างบรายจ่าย'!$C:$K,8,0)),0,VLOOKUP($A83&amp;"_"&amp;AL$4,'2. หน้างบรายจ่าย'!$C:$K,8,0)))</f>
        <v>0</v>
      </c>
      <c r="AM83" s="248">
        <f>IF($C83="",0,IF(ISNA(VLOOKUP($A83&amp;"_"&amp;AM$4,'2. หน้างบรายจ่าย'!$C:$K,9,0)),0,VLOOKUP($A83&amp;"_"&amp;AM$4,'2. หน้างบรายจ่าย'!$C:$K,9,0)))</f>
        <v>0</v>
      </c>
      <c r="AP83" s="171" t="str">
        <f t="shared" si="29"/>
        <v>No</v>
      </c>
    </row>
    <row r="84" spans="1:42" ht="25.5" hidden="1" customHeight="1">
      <c r="A84" s="210">
        <v>55</v>
      </c>
      <c r="B84" s="244" t="str">
        <f>IF(ISNA(VLOOKUP(A84,'2. หน้างบรายจ่าย'!$A:$K,4,0)),"",TEXT(VLOOKUP(A84,'2. หน้างบรายจ่าย'!$A:$K,4,0),"dd ดดด yy"))</f>
        <v/>
      </c>
      <c r="C84" s="245" t="str">
        <f>IF(ISNA(VLOOKUP(A84,'2. หน้างบรายจ่าย'!$A:$K,8,0)),"",VLOOKUP(A84,'2. หน้างบรายจ่าย'!$A:$K,8,0))</f>
        <v/>
      </c>
      <c r="D84" s="231">
        <f t="shared" si="26"/>
        <v>0</v>
      </c>
      <c r="E84" s="232">
        <f t="shared" si="27"/>
        <v>0</v>
      </c>
      <c r="F84" s="231">
        <f t="shared" si="28"/>
        <v>0</v>
      </c>
      <c r="G84" s="247">
        <f>IF($C84="",0,IF(ISNA(VLOOKUP($A84&amp;"_"&amp;G$4,'2. หน้างบรายจ่าย'!$C:$K,7,0)),0,VLOOKUP($A84&amp;"_"&amp;G$4,'2. หน้างบรายจ่าย'!$C:$K,7,0)))</f>
        <v>0</v>
      </c>
      <c r="H84" s="247">
        <f>IF($C84="",0,IF(ISNA(VLOOKUP($A84&amp;"_"&amp;H$4,'2. หน้างบรายจ่าย'!$C:$K,8,0)),0,VLOOKUP($A84&amp;"_"&amp;H$4,'2. หน้างบรายจ่าย'!$C:$K,8,0)))</f>
        <v>0</v>
      </c>
      <c r="I84" s="247">
        <f>IF($C84="",0,IF(ISNA(VLOOKUP($A84&amp;"_"&amp;I$4,'2. หน้างบรายจ่าย'!$C:$K,9,0)),0,VLOOKUP($A84&amp;"_"&amp;I$4,'2. หน้างบรายจ่าย'!$C:$K,9,0)))</f>
        <v>0</v>
      </c>
      <c r="J84" s="247">
        <f>IF($C84="",0,IF(ISNA(VLOOKUP($A84&amp;"_"&amp;J$4,'2. หน้างบรายจ่าย'!$C:$K,7,0)),0,VLOOKUP($A84&amp;"_"&amp;J$4,'2. หน้างบรายจ่าย'!$C:$K,7,0)))</f>
        <v>0</v>
      </c>
      <c r="K84" s="247">
        <f>IF($C84="",0,IF(ISNA(VLOOKUP($A84&amp;"_"&amp;K$4,'2. หน้างบรายจ่าย'!$C:$K,8,0)),0,VLOOKUP($A84&amp;"_"&amp;K$4,'2. หน้างบรายจ่าย'!$C:$K,8,0)))</f>
        <v>0</v>
      </c>
      <c r="L84" s="247">
        <f>IF($C84="",0,IF(ISNA(VLOOKUP($A84&amp;"_"&amp;L$4,'2. หน้างบรายจ่าย'!$C:$K,9,0)),0,VLOOKUP($A84&amp;"_"&amp;L$4,'2. หน้างบรายจ่าย'!$C:$K,9,0)))</f>
        <v>0</v>
      </c>
      <c r="M84" s="247">
        <f>IF($C84="",0,IF(ISNA(VLOOKUP($A84&amp;"_"&amp;M$4,'2. หน้างบรายจ่าย'!$C:$K,7,0)),0,VLOOKUP($A84&amp;"_"&amp;M$4,'2. หน้างบรายจ่าย'!$C:$K,7,0)))</f>
        <v>0</v>
      </c>
      <c r="N84" s="247">
        <f>IF($C84="",0,IF(ISNA(VLOOKUP($A84&amp;"_"&amp;N$4,'2. หน้างบรายจ่าย'!$C:$K,8,0)),0,VLOOKUP($A84&amp;"_"&amp;N$4,'2. หน้างบรายจ่าย'!$C:$K,8,0)))</f>
        <v>0</v>
      </c>
      <c r="O84" s="248">
        <f>IF($C84="",0,IF(ISNA(VLOOKUP($A84&amp;"_"&amp;O$4,'2. หน้างบรายจ่าย'!$C:$K,9,0)),0,VLOOKUP($A84&amp;"_"&amp;O$4,'2. หน้างบรายจ่าย'!$C:$K,9,0)))</f>
        <v>0</v>
      </c>
      <c r="P84" s="246">
        <f>IF($C84="",0,IF(ISNA(VLOOKUP($A84&amp;"_"&amp;P$4,'2. หน้างบรายจ่าย'!$C:$K,7,0)),0,VLOOKUP($A84&amp;"_"&amp;P$4,'2. หน้างบรายจ่าย'!$C:$K,7,0)))</f>
        <v>0</v>
      </c>
      <c r="Q84" s="249">
        <f>IF($C84="",0,IF(ISNA(VLOOKUP($A84&amp;"_"&amp;Q$4,'2. หน้างบรายจ่าย'!$C:$K,8,0)),0,VLOOKUP($A84&amp;"_"&amp;Q$4,'2. หน้างบรายจ่าย'!$C:$K,8,0)))</f>
        <v>0</v>
      </c>
      <c r="R84" s="247">
        <f>IF($C84="",0,IF(ISNA(VLOOKUP($A84&amp;"_"&amp;R$4,'2. หน้างบรายจ่าย'!$C:$K,9,0)),0,VLOOKUP($A84&amp;"_"&amp;R$4,'2. หน้างบรายจ่าย'!$C:$K,9,0)))</f>
        <v>0</v>
      </c>
      <c r="S84" s="247">
        <f>IF($C84="",0,IF(ISNA(VLOOKUP($A84&amp;"_"&amp;S$4,'2. หน้างบรายจ่าย'!$C:$K,7,0)),0,VLOOKUP($A84&amp;"_"&amp;S$4,'2. หน้างบรายจ่าย'!$C:$K,7,0)))</f>
        <v>0</v>
      </c>
      <c r="T84" s="247">
        <f>IF($C84="",0,IF(ISNA(VLOOKUP($A84&amp;"_"&amp;T$4,'2. หน้างบรายจ่าย'!$C:$K,8,0)),0,VLOOKUP($A84&amp;"_"&amp;T$4,'2. หน้างบรายจ่าย'!$C:$K,8,0)))</f>
        <v>0</v>
      </c>
      <c r="U84" s="247">
        <f>IF($C84="",0,IF(ISNA(VLOOKUP($A84&amp;"_"&amp;U$4,'2. หน้างบรายจ่าย'!$C:$K,9,0)),0,VLOOKUP($A84&amp;"_"&amp;U$4,'2. หน้างบรายจ่าย'!$C:$K,9,0)))</f>
        <v>0</v>
      </c>
      <c r="V84" s="247">
        <f>IF($C84="",0,IF(ISNA(VLOOKUP($A84&amp;"_"&amp;V$4,'2. หน้างบรายจ่าย'!$C:$K,7,0)),0,VLOOKUP($A84&amp;"_"&amp;V$4,'2. หน้างบรายจ่าย'!$C:$K,7,0)))</f>
        <v>0</v>
      </c>
      <c r="W84" s="247">
        <f>IF($C84="",0,IF(ISNA(VLOOKUP($A84&amp;"_"&amp;W$4,'2. หน้างบรายจ่าย'!$C:$K,8,0)),0,VLOOKUP($A84&amp;"_"&amp;W$4,'2. หน้างบรายจ่าย'!$C:$K,8,0)))</f>
        <v>0</v>
      </c>
      <c r="X84" s="247">
        <f>IF($C84="",0,IF(ISNA(VLOOKUP($A84&amp;"_"&amp;X$4,'2. หน้างบรายจ่าย'!$C:$K,9,0)),0,VLOOKUP($A84&amp;"_"&amp;X$4,'2. หน้างบรายจ่าย'!$C:$K,9,0)))</f>
        <v>0</v>
      </c>
      <c r="Y84" s="247">
        <f>IF($C84="",0,IF(ISNA(VLOOKUP($A84&amp;"_"&amp;Y$4,'2. หน้างบรายจ่าย'!$C:$K,7,0)),0,VLOOKUP($A84&amp;"_"&amp;Y$4,'2. หน้างบรายจ่าย'!$C:$K,7,0)))</f>
        <v>0</v>
      </c>
      <c r="Z84" s="247">
        <f>IF($C84="",0,IF(ISNA(VLOOKUP($A84&amp;"_"&amp;Z$4,'2. หน้างบรายจ่าย'!$C:$K,8,0)),0,VLOOKUP($A84&amp;"_"&amp;Z$4,'2. หน้างบรายจ่าย'!$C:$K,8,0)))</f>
        <v>0</v>
      </c>
      <c r="AA84" s="247">
        <f>IF($C84="",0,IF(ISNA(VLOOKUP($A84&amp;"_"&amp;AA$4,'2. หน้างบรายจ่าย'!$C:$K,9,0)),0,VLOOKUP($A84&amp;"_"&amp;AA$4,'2. หน้างบรายจ่าย'!$C:$K,9,0)))</f>
        <v>0</v>
      </c>
      <c r="AB84" s="247">
        <f>IF($C84="",0,IF(ISNA(VLOOKUP($A84&amp;"_"&amp;AB$4,'2. หน้างบรายจ่าย'!$C:$K,7,0)),0,VLOOKUP($A84&amp;"_"&amp;AB$4,'2. หน้างบรายจ่าย'!$C:$K,7,0)))</f>
        <v>0</v>
      </c>
      <c r="AC84" s="251">
        <f>IF($C84="",0,IF(ISNA(VLOOKUP($A84&amp;"_"&amp;AC$4,'2. หน้างบรายจ่าย'!$C:$K,8,0)),0,VLOOKUP($A84&amp;"_"&amp;AC$4,'2. หน้างบรายจ่าย'!$C:$K,8,0)))</f>
        <v>0</v>
      </c>
      <c r="AD84" s="248">
        <f>IF($C84="",0,IF(ISNA(VLOOKUP($A84&amp;"_"&amp;AD$4,'2. หน้างบรายจ่าย'!$C:$K,9,0)),0,VLOOKUP($A84&amp;"_"&amp;AD$4,'2. หน้างบรายจ่าย'!$C:$K,9,0)))</f>
        <v>0</v>
      </c>
      <c r="AE84" s="246">
        <f>IF($C84="",0,IF(ISNA(VLOOKUP($A84&amp;"_"&amp;AE$4,'2. หน้างบรายจ่าย'!$C:$K,7,0)),0,VLOOKUP($A84&amp;"_"&amp;AE$4,'2. หน้างบรายจ่าย'!$C:$K,7,0)))</f>
        <v>0</v>
      </c>
      <c r="AF84" s="250">
        <f>IF($C84="",0,IF(ISNA(VLOOKUP($A84&amp;"_"&amp;AF$4,'2. หน้างบรายจ่าย'!$C:$K,8,0)),0,VLOOKUP($A84&amp;"_"&amp;AF$4,'2. หน้างบรายจ่าย'!$C:$K,8,0)))</f>
        <v>0</v>
      </c>
      <c r="AG84" s="248">
        <f>IF($C84="",0,IF(ISNA(VLOOKUP($A84&amp;"_"&amp;AG$4,'2. หน้างบรายจ่าย'!$C:$K,9,0)),0,VLOOKUP($A84&amp;"_"&amp;AG$4,'2. หน้างบรายจ่าย'!$C:$K,9,0)))</f>
        <v>0</v>
      </c>
      <c r="AH84" s="249">
        <f>IF($C84="",0,IF(ISNA(VLOOKUP($A84&amp;"_"&amp;AH$4,'2. หน้างบรายจ่าย'!$C:$K,7,0)),0,VLOOKUP($A84&amp;"_"&amp;AH$4,'2. หน้างบรายจ่าย'!$C:$K,7,0)))</f>
        <v>0</v>
      </c>
      <c r="AI84" s="250">
        <f>IF($C84="",0,IF(ISNA(VLOOKUP($A84&amp;"_"&amp;AI$4,'2. หน้างบรายจ่าย'!$C:$K,8,0)),0,VLOOKUP($A84&amp;"_"&amp;AI$4,'2. หน้างบรายจ่าย'!$C:$K,8,0)))</f>
        <v>0</v>
      </c>
      <c r="AJ84" s="248">
        <f>IF($C84="",0,IF(ISNA(VLOOKUP($A84&amp;"_"&amp;AJ$4,'2. หน้างบรายจ่าย'!$C:$K,9,0)),0,VLOOKUP($A84&amp;"_"&amp;AJ$4,'2. หน้างบรายจ่าย'!$C:$K,9,0)))</f>
        <v>0</v>
      </c>
      <c r="AK84" s="249">
        <f>IF($C84="",0,IF(ISNA(VLOOKUP($A84&amp;"_"&amp;AK$4,'2. หน้างบรายจ่าย'!$C:$K,7,0)),0,VLOOKUP($A84&amp;"_"&amp;AK$4,'2. หน้างบรายจ่าย'!$C:$K,7,0)))</f>
        <v>0</v>
      </c>
      <c r="AL84" s="250">
        <f>IF($C84="",0,IF(ISNA(VLOOKUP($A84&amp;"_"&amp;AL$4,'2. หน้างบรายจ่าย'!$C:$K,8,0)),0,VLOOKUP($A84&amp;"_"&amp;AL$4,'2. หน้างบรายจ่าย'!$C:$K,8,0)))</f>
        <v>0</v>
      </c>
      <c r="AM84" s="248">
        <f>IF($C84="",0,IF(ISNA(VLOOKUP($A84&amp;"_"&amp;AM$4,'2. หน้างบรายจ่าย'!$C:$K,9,0)),0,VLOOKUP($A84&amp;"_"&amp;AM$4,'2. หน้างบรายจ่าย'!$C:$K,9,0)))</f>
        <v>0</v>
      </c>
      <c r="AP84" s="171" t="str">
        <f t="shared" si="29"/>
        <v>No</v>
      </c>
    </row>
    <row r="85" spans="1:42" ht="25.5" hidden="1" customHeight="1">
      <c r="A85" s="210">
        <v>56</v>
      </c>
      <c r="B85" s="244" t="str">
        <f>IF(ISNA(VLOOKUP(A85,'2. หน้างบรายจ่าย'!$A:$K,4,0)),"",TEXT(VLOOKUP(A85,'2. หน้างบรายจ่าย'!$A:$K,4,0),"dd ดดด yy"))</f>
        <v/>
      </c>
      <c r="C85" s="245" t="str">
        <f>IF(ISNA(VLOOKUP(A85,'2. หน้างบรายจ่าย'!$A:$K,8,0)),"",VLOOKUP(A85,'2. หน้างบรายจ่าย'!$A:$K,8,0))</f>
        <v/>
      </c>
      <c r="D85" s="231">
        <f t="shared" si="26"/>
        <v>0</v>
      </c>
      <c r="E85" s="232">
        <f t="shared" si="27"/>
        <v>0</v>
      </c>
      <c r="F85" s="231">
        <f t="shared" si="28"/>
        <v>0</v>
      </c>
      <c r="G85" s="247">
        <f>IF($C85="",0,IF(ISNA(VLOOKUP($A85&amp;"_"&amp;G$4,'2. หน้างบรายจ่าย'!$C:$K,7,0)),0,VLOOKUP($A85&amp;"_"&amp;G$4,'2. หน้างบรายจ่าย'!$C:$K,7,0)))</f>
        <v>0</v>
      </c>
      <c r="H85" s="247">
        <f>IF($C85="",0,IF(ISNA(VLOOKUP($A85&amp;"_"&amp;H$4,'2. หน้างบรายจ่าย'!$C:$K,8,0)),0,VLOOKUP($A85&amp;"_"&amp;H$4,'2. หน้างบรายจ่าย'!$C:$K,8,0)))</f>
        <v>0</v>
      </c>
      <c r="I85" s="247">
        <f>IF($C85="",0,IF(ISNA(VLOOKUP($A85&amp;"_"&amp;I$4,'2. หน้างบรายจ่าย'!$C:$K,9,0)),0,VLOOKUP($A85&amp;"_"&amp;I$4,'2. หน้างบรายจ่าย'!$C:$K,9,0)))</f>
        <v>0</v>
      </c>
      <c r="J85" s="247">
        <f>IF($C85="",0,IF(ISNA(VLOOKUP($A85&amp;"_"&amp;J$4,'2. หน้างบรายจ่าย'!$C:$K,7,0)),0,VLOOKUP($A85&amp;"_"&amp;J$4,'2. หน้างบรายจ่าย'!$C:$K,7,0)))</f>
        <v>0</v>
      </c>
      <c r="K85" s="247">
        <f>IF($C85="",0,IF(ISNA(VLOOKUP($A85&amp;"_"&amp;K$4,'2. หน้างบรายจ่าย'!$C:$K,8,0)),0,VLOOKUP($A85&amp;"_"&amp;K$4,'2. หน้างบรายจ่าย'!$C:$K,8,0)))</f>
        <v>0</v>
      </c>
      <c r="L85" s="247">
        <f>IF($C85="",0,IF(ISNA(VLOOKUP($A85&amp;"_"&amp;L$4,'2. หน้างบรายจ่าย'!$C:$K,9,0)),0,VLOOKUP($A85&amp;"_"&amp;L$4,'2. หน้างบรายจ่าย'!$C:$K,9,0)))</f>
        <v>0</v>
      </c>
      <c r="M85" s="247">
        <f>IF($C85="",0,IF(ISNA(VLOOKUP($A85&amp;"_"&amp;M$4,'2. หน้างบรายจ่าย'!$C:$K,7,0)),0,VLOOKUP($A85&amp;"_"&amp;M$4,'2. หน้างบรายจ่าย'!$C:$K,7,0)))</f>
        <v>0</v>
      </c>
      <c r="N85" s="247">
        <f>IF($C85="",0,IF(ISNA(VLOOKUP($A85&amp;"_"&amp;N$4,'2. หน้างบรายจ่าย'!$C:$K,8,0)),0,VLOOKUP($A85&amp;"_"&amp;N$4,'2. หน้างบรายจ่าย'!$C:$K,8,0)))</f>
        <v>0</v>
      </c>
      <c r="O85" s="248">
        <f>IF($C85="",0,IF(ISNA(VLOOKUP($A85&amp;"_"&amp;O$4,'2. หน้างบรายจ่าย'!$C:$K,9,0)),0,VLOOKUP($A85&amp;"_"&amp;O$4,'2. หน้างบรายจ่าย'!$C:$K,9,0)))</f>
        <v>0</v>
      </c>
      <c r="P85" s="246">
        <f>IF($C85="",0,IF(ISNA(VLOOKUP($A85&amp;"_"&amp;P$4,'2. หน้างบรายจ่าย'!$C:$K,7,0)),0,VLOOKUP($A85&amp;"_"&amp;P$4,'2. หน้างบรายจ่าย'!$C:$K,7,0)))</f>
        <v>0</v>
      </c>
      <c r="Q85" s="249">
        <f>IF($C85="",0,IF(ISNA(VLOOKUP($A85&amp;"_"&amp;Q$4,'2. หน้างบรายจ่าย'!$C:$K,8,0)),0,VLOOKUP($A85&amp;"_"&amp;Q$4,'2. หน้างบรายจ่าย'!$C:$K,8,0)))</f>
        <v>0</v>
      </c>
      <c r="R85" s="247">
        <f>IF($C85="",0,IF(ISNA(VLOOKUP($A85&amp;"_"&amp;R$4,'2. หน้างบรายจ่าย'!$C:$K,9,0)),0,VLOOKUP($A85&amp;"_"&amp;R$4,'2. หน้างบรายจ่าย'!$C:$K,9,0)))</f>
        <v>0</v>
      </c>
      <c r="S85" s="247">
        <f>IF($C85="",0,IF(ISNA(VLOOKUP($A85&amp;"_"&amp;S$4,'2. หน้างบรายจ่าย'!$C:$K,7,0)),0,VLOOKUP($A85&amp;"_"&amp;S$4,'2. หน้างบรายจ่าย'!$C:$K,7,0)))</f>
        <v>0</v>
      </c>
      <c r="T85" s="247">
        <f>IF($C85="",0,IF(ISNA(VLOOKUP($A85&amp;"_"&amp;T$4,'2. หน้างบรายจ่าย'!$C:$K,8,0)),0,VLOOKUP($A85&amp;"_"&amp;T$4,'2. หน้างบรายจ่าย'!$C:$K,8,0)))</f>
        <v>0</v>
      </c>
      <c r="U85" s="247">
        <f>IF($C85="",0,IF(ISNA(VLOOKUP($A85&amp;"_"&amp;U$4,'2. หน้างบรายจ่าย'!$C:$K,9,0)),0,VLOOKUP($A85&amp;"_"&amp;U$4,'2. หน้างบรายจ่าย'!$C:$K,9,0)))</f>
        <v>0</v>
      </c>
      <c r="V85" s="247">
        <f>IF($C85="",0,IF(ISNA(VLOOKUP($A85&amp;"_"&amp;V$4,'2. หน้างบรายจ่าย'!$C:$K,7,0)),0,VLOOKUP($A85&amp;"_"&amp;V$4,'2. หน้างบรายจ่าย'!$C:$K,7,0)))</f>
        <v>0</v>
      </c>
      <c r="W85" s="247">
        <f>IF($C85="",0,IF(ISNA(VLOOKUP($A85&amp;"_"&amp;W$4,'2. หน้างบรายจ่าย'!$C:$K,8,0)),0,VLOOKUP($A85&amp;"_"&amp;W$4,'2. หน้างบรายจ่าย'!$C:$K,8,0)))</f>
        <v>0</v>
      </c>
      <c r="X85" s="247">
        <f>IF($C85="",0,IF(ISNA(VLOOKUP($A85&amp;"_"&amp;X$4,'2. หน้างบรายจ่าย'!$C:$K,9,0)),0,VLOOKUP($A85&amp;"_"&amp;X$4,'2. หน้างบรายจ่าย'!$C:$K,9,0)))</f>
        <v>0</v>
      </c>
      <c r="Y85" s="247">
        <f>IF($C85="",0,IF(ISNA(VLOOKUP($A85&amp;"_"&amp;Y$4,'2. หน้างบรายจ่าย'!$C:$K,7,0)),0,VLOOKUP($A85&amp;"_"&amp;Y$4,'2. หน้างบรายจ่าย'!$C:$K,7,0)))</f>
        <v>0</v>
      </c>
      <c r="Z85" s="247">
        <f>IF($C85="",0,IF(ISNA(VLOOKUP($A85&amp;"_"&amp;Z$4,'2. หน้างบรายจ่าย'!$C:$K,8,0)),0,VLOOKUP($A85&amp;"_"&amp;Z$4,'2. หน้างบรายจ่าย'!$C:$K,8,0)))</f>
        <v>0</v>
      </c>
      <c r="AA85" s="247">
        <f>IF($C85="",0,IF(ISNA(VLOOKUP($A85&amp;"_"&amp;AA$4,'2. หน้างบรายจ่าย'!$C:$K,9,0)),0,VLOOKUP($A85&amp;"_"&amp;AA$4,'2. หน้างบรายจ่าย'!$C:$K,9,0)))</f>
        <v>0</v>
      </c>
      <c r="AB85" s="247">
        <f>IF($C85="",0,IF(ISNA(VLOOKUP($A85&amp;"_"&amp;AB$4,'2. หน้างบรายจ่าย'!$C:$K,7,0)),0,VLOOKUP($A85&amp;"_"&amp;AB$4,'2. หน้างบรายจ่าย'!$C:$K,7,0)))</f>
        <v>0</v>
      </c>
      <c r="AC85" s="251">
        <f>IF($C85="",0,IF(ISNA(VLOOKUP($A85&amp;"_"&amp;AC$4,'2. หน้างบรายจ่าย'!$C:$K,8,0)),0,VLOOKUP($A85&amp;"_"&amp;AC$4,'2. หน้างบรายจ่าย'!$C:$K,8,0)))</f>
        <v>0</v>
      </c>
      <c r="AD85" s="248">
        <f>IF($C85="",0,IF(ISNA(VLOOKUP($A85&amp;"_"&amp;AD$4,'2. หน้างบรายจ่าย'!$C:$K,9,0)),0,VLOOKUP($A85&amp;"_"&amp;AD$4,'2. หน้างบรายจ่าย'!$C:$K,9,0)))</f>
        <v>0</v>
      </c>
      <c r="AE85" s="246">
        <f>IF($C85="",0,IF(ISNA(VLOOKUP($A85&amp;"_"&amp;AE$4,'2. หน้างบรายจ่าย'!$C:$K,7,0)),0,VLOOKUP($A85&amp;"_"&amp;AE$4,'2. หน้างบรายจ่าย'!$C:$K,7,0)))</f>
        <v>0</v>
      </c>
      <c r="AF85" s="250">
        <f>IF($C85="",0,IF(ISNA(VLOOKUP($A85&amp;"_"&amp;AF$4,'2. หน้างบรายจ่าย'!$C:$K,8,0)),0,VLOOKUP($A85&amp;"_"&amp;AF$4,'2. หน้างบรายจ่าย'!$C:$K,8,0)))</f>
        <v>0</v>
      </c>
      <c r="AG85" s="248">
        <f>IF($C85="",0,IF(ISNA(VLOOKUP($A85&amp;"_"&amp;AG$4,'2. หน้างบรายจ่าย'!$C:$K,9,0)),0,VLOOKUP($A85&amp;"_"&amp;AG$4,'2. หน้างบรายจ่าย'!$C:$K,9,0)))</f>
        <v>0</v>
      </c>
      <c r="AH85" s="249">
        <f>IF($C85="",0,IF(ISNA(VLOOKUP($A85&amp;"_"&amp;AH$4,'2. หน้างบรายจ่าย'!$C:$K,7,0)),0,VLOOKUP($A85&amp;"_"&amp;AH$4,'2. หน้างบรายจ่าย'!$C:$K,7,0)))</f>
        <v>0</v>
      </c>
      <c r="AI85" s="250">
        <f>IF($C85="",0,IF(ISNA(VLOOKUP($A85&amp;"_"&amp;AI$4,'2. หน้างบรายจ่าย'!$C:$K,8,0)),0,VLOOKUP($A85&amp;"_"&amp;AI$4,'2. หน้างบรายจ่าย'!$C:$K,8,0)))</f>
        <v>0</v>
      </c>
      <c r="AJ85" s="248">
        <f>IF($C85="",0,IF(ISNA(VLOOKUP($A85&amp;"_"&amp;AJ$4,'2. หน้างบรายจ่าย'!$C:$K,9,0)),0,VLOOKUP($A85&amp;"_"&amp;AJ$4,'2. หน้างบรายจ่าย'!$C:$K,9,0)))</f>
        <v>0</v>
      </c>
      <c r="AK85" s="249">
        <f>IF($C85="",0,IF(ISNA(VLOOKUP($A85&amp;"_"&amp;AK$4,'2. หน้างบรายจ่าย'!$C:$K,7,0)),0,VLOOKUP($A85&amp;"_"&amp;AK$4,'2. หน้างบรายจ่าย'!$C:$K,7,0)))</f>
        <v>0</v>
      </c>
      <c r="AL85" s="250">
        <f>IF($C85="",0,IF(ISNA(VLOOKUP($A85&amp;"_"&amp;AL$4,'2. หน้างบรายจ่าย'!$C:$K,8,0)),0,VLOOKUP($A85&amp;"_"&amp;AL$4,'2. หน้างบรายจ่าย'!$C:$K,8,0)))</f>
        <v>0</v>
      </c>
      <c r="AM85" s="248">
        <f>IF($C85="",0,IF(ISNA(VLOOKUP($A85&amp;"_"&amp;AM$4,'2. หน้างบรายจ่าย'!$C:$K,9,0)),0,VLOOKUP($A85&amp;"_"&amp;AM$4,'2. หน้างบรายจ่าย'!$C:$K,9,0)))</f>
        <v>0</v>
      </c>
      <c r="AP85" s="171" t="str">
        <f t="shared" si="29"/>
        <v>No</v>
      </c>
    </row>
    <row r="86" spans="1:42" ht="25.5" hidden="1" customHeight="1">
      <c r="A86" s="210">
        <v>57</v>
      </c>
      <c r="B86" s="244" t="str">
        <f>IF(ISNA(VLOOKUP(A86,'2. หน้างบรายจ่าย'!$A:$K,4,0)),"",TEXT(VLOOKUP(A86,'2. หน้างบรายจ่าย'!$A:$K,4,0),"dd ดดด yy"))</f>
        <v/>
      </c>
      <c r="C86" s="245" t="str">
        <f>IF(ISNA(VLOOKUP(A86,'2. หน้างบรายจ่าย'!$A:$K,8,0)),"",VLOOKUP(A86,'2. หน้างบรายจ่าย'!$A:$K,8,0))</f>
        <v/>
      </c>
      <c r="D86" s="231">
        <f t="shared" si="26"/>
        <v>0</v>
      </c>
      <c r="E86" s="232">
        <f t="shared" si="27"/>
        <v>0</v>
      </c>
      <c r="F86" s="231">
        <f t="shared" si="28"/>
        <v>0</v>
      </c>
      <c r="G86" s="247">
        <f>IF($C86="",0,IF(ISNA(VLOOKUP($A86&amp;"_"&amp;G$4,'2. หน้างบรายจ่าย'!$C:$K,7,0)),0,VLOOKUP($A86&amp;"_"&amp;G$4,'2. หน้างบรายจ่าย'!$C:$K,7,0)))</f>
        <v>0</v>
      </c>
      <c r="H86" s="247">
        <f>IF($C86="",0,IF(ISNA(VLOOKUP($A86&amp;"_"&amp;H$4,'2. หน้างบรายจ่าย'!$C:$K,8,0)),0,VLOOKUP($A86&amp;"_"&amp;H$4,'2. หน้างบรายจ่าย'!$C:$K,8,0)))</f>
        <v>0</v>
      </c>
      <c r="I86" s="247">
        <f>IF($C86="",0,IF(ISNA(VLOOKUP($A86&amp;"_"&amp;I$4,'2. หน้างบรายจ่าย'!$C:$K,9,0)),0,VLOOKUP($A86&amp;"_"&amp;I$4,'2. หน้างบรายจ่าย'!$C:$K,9,0)))</f>
        <v>0</v>
      </c>
      <c r="J86" s="247">
        <f>IF($C86="",0,IF(ISNA(VLOOKUP($A86&amp;"_"&amp;J$4,'2. หน้างบรายจ่าย'!$C:$K,7,0)),0,VLOOKUP($A86&amp;"_"&amp;J$4,'2. หน้างบรายจ่าย'!$C:$K,7,0)))</f>
        <v>0</v>
      </c>
      <c r="K86" s="247">
        <f>IF($C86="",0,IF(ISNA(VLOOKUP($A86&amp;"_"&amp;K$4,'2. หน้างบรายจ่าย'!$C:$K,8,0)),0,VLOOKUP($A86&amp;"_"&amp;K$4,'2. หน้างบรายจ่าย'!$C:$K,8,0)))</f>
        <v>0</v>
      </c>
      <c r="L86" s="247">
        <f>IF($C86="",0,IF(ISNA(VLOOKUP($A86&amp;"_"&amp;L$4,'2. หน้างบรายจ่าย'!$C:$K,9,0)),0,VLOOKUP($A86&amp;"_"&amp;L$4,'2. หน้างบรายจ่าย'!$C:$K,9,0)))</f>
        <v>0</v>
      </c>
      <c r="M86" s="247">
        <f>IF($C86="",0,IF(ISNA(VLOOKUP($A86&amp;"_"&amp;M$4,'2. หน้างบรายจ่าย'!$C:$K,7,0)),0,VLOOKUP($A86&amp;"_"&amp;M$4,'2. หน้างบรายจ่าย'!$C:$K,7,0)))</f>
        <v>0</v>
      </c>
      <c r="N86" s="247">
        <f>IF($C86="",0,IF(ISNA(VLOOKUP($A86&amp;"_"&amp;N$4,'2. หน้างบรายจ่าย'!$C:$K,8,0)),0,VLOOKUP($A86&amp;"_"&amp;N$4,'2. หน้างบรายจ่าย'!$C:$K,8,0)))</f>
        <v>0</v>
      </c>
      <c r="O86" s="248">
        <f>IF($C86="",0,IF(ISNA(VLOOKUP($A86&amp;"_"&amp;O$4,'2. หน้างบรายจ่าย'!$C:$K,9,0)),0,VLOOKUP($A86&amp;"_"&amp;O$4,'2. หน้างบรายจ่าย'!$C:$K,9,0)))</f>
        <v>0</v>
      </c>
      <c r="P86" s="246">
        <f>IF($C86="",0,IF(ISNA(VLOOKUP($A86&amp;"_"&amp;P$4,'2. หน้างบรายจ่าย'!$C:$K,7,0)),0,VLOOKUP($A86&amp;"_"&amp;P$4,'2. หน้างบรายจ่าย'!$C:$K,7,0)))</f>
        <v>0</v>
      </c>
      <c r="Q86" s="249">
        <f>IF($C86="",0,IF(ISNA(VLOOKUP($A86&amp;"_"&amp;Q$4,'2. หน้างบรายจ่าย'!$C:$K,8,0)),0,VLOOKUP($A86&amp;"_"&amp;Q$4,'2. หน้างบรายจ่าย'!$C:$K,8,0)))</f>
        <v>0</v>
      </c>
      <c r="R86" s="247">
        <f>IF($C86="",0,IF(ISNA(VLOOKUP($A86&amp;"_"&amp;R$4,'2. หน้างบรายจ่าย'!$C:$K,9,0)),0,VLOOKUP($A86&amp;"_"&amp;R$4,'2. หน้างบรายจ่าย'!$C:$K,9,0)))</f>
        <v>0</v>
      </c>
      <c r="S86" s="247">
        <f>IF($C86="",0,IF(ISNA(VLOOKUP($A86&amp;"_"&amp;S$4,'2. หน้างบรายจ่าย'!$C:$K,7,0)),0,VLOOKUP($A86&amp;"_"&amp;S$4,'2. หน้างบรายจ่าย'!$C:$K,7,0)))</f>
        <v>0</v>
      </c>
      <c r="T86" s="247">
        <f>IF($C86="",0,IF(ISNA(VLOOKUP($A86&amp;"_"&amp;T$4,'2. หน้างบรายจ่าย'!$C:$K,8,0)),0,VLOOKUP($A86&amp;"_"&amp;T$4,'2. หน้างบรายจ่าย'!$C:$K,8,0)))</f>
        <v>0</v>
      </c>
      <c r="U86" s="247">
        <f>IF($C86="",0,IF(ISNA(VLOOKUP($A86&amp;"_"&amp;U$4,'2. หน้างบรายจ่าย'!$C:$K,9,0)),0,VLOOKUP($A86&amp;"_"&amp;U$4,'2. หน้างบรายจ่าย'!$C:$K,9,0)))</f>
        <v>0</v>
      </c>
      <c r="V86" s="247">
        <f>IF($C86="",0,IF(ISNA(VLOOKUP($A86&amp;"_"&amp;V$4,'2. หน้างบรายจ่าย'!$C:$K,7,0)),0,VLOOKUP($A86&amp;"_"&amp;V$4,'2. หน้างบรายจ่าย'!$C:$K,7,0)))</f>
        <v>0</v>
      </c>
      <c r="W86" s="247">
        <f>IF($C86="",0,IF(ISNA(VLOOKUP($A86&amp;"_"&amp;W$4,'2. หน้างบรายจ่าย'!$C:$K,8,0)),0,VLOOKUP($A86&amp;"_"&amp;W$4,'2. หน้างบรายจ่าย'!$C:$K,8,0)))</f>
        <v>0</v>
      </c>
      <c r="X86" s="247">
        <f>IF($C86="",0,IF(ISNA(VLOOKUP($A86&amp;"_"&amp;X$4,'2. หน้างบรายจ่าย'!$C:$K,9,0)),0,VLOOKUP($A86&amp;"_"&amp;X$4,'2. หน้างบรายจ่าย'!$C:$K,9,0)))</f>
        <v>0</v>
      </c>
      <c r="Y86" s="247">
        <f>IF($C86="",0,IF(ISNA(VLOOKUP($A86&amp;"_"&amp;Y$4,'2. หน้างบรายจ่าย'!$C:$K,7,0)),0,VLOOKUP($A86&amp;"_"&amp;Y$4,'2. หน้างบรายจ่าย'!$C:$K,7,0)))</f>
        <v>0</v>
      </c>
      <c r="Z86" s="247">
        <f>IF($C86="",0,IF(ISNA(VLOOKUP($A86&amp;"_"&amp;Z$4,'2. หน้างบรายจ่าย'!$C:$K,8,0)),0,VLOOKUP($A86&amp;"_"&amp;Z$4,'2. หน้างบรายจ่าย'!$C:$K,8,0)))</f>
        <v>0</v>
      </c>
      <c r="AA86" s="247">
        <f>IF($C86="",0,IF(ISNA(VLOOKUP($A86&amp;"_"&amp;AA$4,'2. หน้างบรายจ่าย'!$C:$K,9,0)),0,VLOOKUP($A86&amp;"_"&amp;AA$4,'2. หน้างบรายจ่าย'!$C:$K,9,0)))</f>
        <v>0</v>
      </c>
      <c r="AB86" s="247">
        <f>IF($C86="",0,IF(ISNA(VLOOKUP($A86&amp;"_"&amp;AB$4,'2. หน้างบรายจ่าย'!$C:$K,7,0)),0,VLOOKUP($A86&amp;"_"&amp;AB$4,'2. หน้างบรายจ่าย'!$C:$K,7,0)))</f>
        <v>0</v>
      </c>
      <c r="AC86" s="251">
        <f>IF($C86="",0,IF(ISNA(VLOOKUP($A86&amp;"_"&amp;AC$4,'2. หน้างบรายจ่าย'!$C:$K,8,0)),0,VLOOKUP($A86&amp;"_"&amp;AC$4,'2. หน้างบรายจ่าย'!$C:$K,8,0)))</f>
        <v>0</v>
      </c>
      <c r="AD86" s="248">
        <f>IF($C86="",0,IF(ISNA(VLOOKUP($A86&amp;"_"&amp;AD$4,'2. หน้างบรายจ่าย'!$C:$K,9,0)),0,VLOOKUP($A86&amp;"_"&amp;AD$4,'2. หน้างบรายจ่าย'!$C:$K,9,0)))</f>
        <v>0</v>
      </c>
      <c r="AE86" s="246">
        <f>IF($C86="",0,IF(ISNA(VLOOKUP($A86&amp;"_"&amp;AE$4,'2. หน้างบรายจ่าย'!$C:$K,7,0)),0,VLOOKUP($A86&amp;"_"&amp;AE$4,'2. หน้างบรายจ่าย'!$C:$K,7,0)))</f>
        <v>0</v>
      </c>
      <c r="AF86" s="250">
        <f>IF($C86="",0,IF(ISNA(VLOOKUP($A86&amp;"_"&amp;AF$4,'2. หน้างบรายจ่าย'!$C:$K,8,0)),0,VLOOKUP($A86&amp;"_"&amp;AF$4,'2. หน้างบรายจ่าย'!$C:$K,8,0)))</f>
        <v>0</v>
      </c>
      <c r="AG86" s="248">
        <f>IF($C86="",0,IF(ISNA(VLOOKUP($A86&amp;"_"&amp;AG$4,'2. หน้างบรายจ่าย'!$C:$K,9,0)),0,VLOOKUP($A86&amp;"_"&amp;AG$4,'2. หน้างบรายจ่าย'!$C:$K,9,0)))</f>
        <v>0</v>
      </c>
      <c r="AH86" s="249">
        <f>IF($C86="",0,IF(ISNA(VLOOKUP($A86&amp;"_"&amp;AH$4,'2. หน้างบรายจ่าย'!$C:$K,7,0)),0,VLOOKUP($A86&amp;"_"&amp;AH$4,'2. หน้างบรายจ่าย'!$C:$K,7,0)))</f>
        <v>0</v>
      </c>
      <c r="AI86" s="250">
        <f>IF($C86="",0,IF(ISNA(VLOOKUP($A86&amp;"_"&amp;AI$4,'2. หน้างบรายจ่าย'!$C:$K,8,0)),0,VLOOKUP($A86&amp;"_"&amp;AI$4,'2. หน้างบรายจ่าย'!$C:$K,8,0)))</f>
        <v>0</v>
      </c>
      <c r="AJ86" s="248">
        <f>IF($C86="",0,IF(ISNA(VLOOKUP($A86&amp;"_"&amp;AJ$4,'2. หน้างบรายจ่าย'!$C:$K,9,0)),0,VLOOKUP($A86&amp;"_"&amp;AJ$4,'2. หน้างบรายจ่าย'!$C:$K,9,0)))</f>
        <v>0</v>
      </c>
      <c r="AK86" s="249">
        <f>IF($C86="",0,IF(ISNA(VLOOKUP($A86&amp;"_"&amp;AK$4,'2. หน้างบรายจ่าย'!$C:$K,7,0)),0,VLOOKUP($A86&amp;"_"&amp;AK$4,'2. หน้างบรายจ่าย'!$C:$K,7,0)))</f>
        <v>0</v>
      </c>
      <c r="AL86" s="250">
        <f>IF($C86="",0,IF(ISNA(VLOOKUP($A86&amp;"_"&amp;AL$4,'2. หน้างบรายจ่าย'!$C:$K,8,0)),0,VLOOKUP($A86&amp;"_"&amp;AL$4,'2. หน้างบรายจ่าย'!$C:$K,8,0)))</f>
        <v>0</v>
      </c>
      <c r="AM86" s="248">
        <f>IF($C86="",0,IF(ISNA(VLOOKUP($A86&amp;"_"&amp;AM$4,'2. หน้างบรายจ่าย'!$C:$K,9,0)),0,VLOOKUP($A86&amp;"_"&amp;AM$4,'2. หน้างบรายจ่าย'!$C:$K,9,0)))</f>
        <v>0</v>
      </c>
      <c r="AP86" s="171" t="str">
        <f t="shared" si="29"/>
        <v>No</v>
      </c>
    </row>
    <row r="87" spans="1:42" ht="25.5" hidden="1" customHeight="1">
      <c r="A87" s="210">
        <v>58</v>
      </c>
      <c r="B87" s="244" t="str">
        <f>IF(ISNA(VLOOKUP(A87,'2. หน้างบรายจ่าย'!$A:$K,4,0)),"",TEXT(VLOOKUP(A87,'2. หน้างบรายจ่าย'!$A:$K,4,0),"dd ดดด yy"))</f>
        <v/>
      </c>
      <c r="C87" s="245" t="str">
        <f>IF(ISNA(VLOOKUP(A87,'2. หน้างบรายจ่าย'!$A:$K,8,0)),"",VLOOKUP(A87,'2. หน้างบรายจ่าย'!$A:$K,8,0))</f>
        <v/>
      </c>
      <c r="D87" s="231">
        <f t="shared" si="26"/>
        <v>0</v>
      </c>
      <c r="E87" s="232">
        <f t="shared" si="27"/>
        <v>0</v>
      </c>
      <c r="F87" s="231">
        <f t="shared" si="28"/>
        <v>0</v>
      </c>
      <c r="G87" s="247">
        <f>IF($C87="",0,IF(ISNA(VLOOKUP($A87&amp;"_"&amp;G$4,'2. หน้างบรายจ่าย'!$C:$K,7,0)),0,VLOOKUP($A87&amp;"_"&amp;G$4,'2. หน้างบรายจ่าย'!$C:$K,7,0)))</f>
        <v>0</v>
      </c>
      <c r="H87" s="247">
        <f>IF($C87="",0,IF(ISNA(VLOOKUP($A87&amp;"_"&amp;H$4,'2. หน้างบรายจ่าย'!$C:$K,8,0)),0,VLOOKUP($A87&amp;"_"&amp;H$4,'2. หน้างบรายจ่าย'!$C:$K,8,0)))</f>
        <v>0</v>
      </c>
      <c r="I87" s="247">
        <f>IF($C87="",0,IF(ISNA(VLOOKUP($A87&amp;"_"&amp;I$4,'2. หน้างบรายจ่าย'!$C:$K,9,0)),0,VLOOKUP($A87&amp;"_"&amp;I$4,'2. หน้างบรายจ่าย'!$C:$K,9,0)))</f>
        <v>0</v>
      </c>
      <c r="J87" s="247">
        <f>IF($C87="",0,IF(ISNA(VLOOKUP($A87&amp;"_"&amp;J$4,'2. หน้างบรายจ่าย'!$C:$K,7,0)),0,VLOOKUP($A87&amp;"_"&amp;J$4,'2. หน้างบรายจ่าย'!$C:$K,7,0)))</f>
        <v>0</v>
      </c>
      <c r="K87" s="247">
        <f>IF($C87="",0,IF(ISNA(VLOOKUP($A87&amp;"_"&amp;K$4,'2. หน้างบรายจ่าย'!$C:$K,8,0)),0,VLOOKUP($A87&amp;"_"&amp;K$4,'2. หน้างบรายจ่าย'!$C:$K,8,0)))</f>
        <v>0</v>
      </c>
      <c r="L87" s="247">
        <f>IF($C87="",0,IF(ISNA(VLOOKUP($A87&amp;"_"&amp;L$4,'2. หน้างบรายจ่าย'!$C:$K,9,0)),0,VLOOKUP($A87&amp;"_"&amp;L$4,'2. หน้างบรายจ่าย'!$C:$K,9,0)))</f>
        <v>0</v>
      </c>
      <c r="M87" s="247">
        <f>IF($C87="",0,IF(ISNA(VLOOKUP($A87&amp;"_"&amp;M$4,'2. หน้างบรายจ่าย'!$C:$K,7,0)),0,VLOOKUP($A87&amp;"_"&amp;M$4,'2. หน้างบรายจ่าย'!$C:$K,7,0)))</f>
        <v>0</v>
      </c>
      <c r="N87" s="247">
        <f>IF($C87="",0,IF(ISNA(VLOOKUP($A87&amp;"_"&amp;N$4,'2. หน้างบรายจ่าย'!$C:$K,8,0)),0,VLOOKUP($A87&amp;"_"&amp;N$4,'2. หน้างบรายจ่าย'!$C:$K,8,0)))</f>
        <v>0</v>
      </c>
      <c r="O87" s="248">
        <f>IF($C87="",0,IF(ISNA(VLOOKUP($A87&amp;"_"&amp;O$4,'2. หน้างบรายจ่าย'!$C:$K,9,0)),0,VLOOKUP($A87&amp;"_"&amp;O$4,'2. หน้างบรายจ่าย'!$C:$K,9,0)))</f>
        <v>0</v>
      </c>
      <c r="P87" s="246">
        <f>IF($C87="",0,IF(ISNA(VLOOKUP($A87&amp;"_"&amp;P$4,'2. หน้างบรายจ่าย'!$C:$K,7,0)),0,VLOOKUP($A87&amp;"_"&amp;P$4,'2. หน้างบรายจ่าย'!$C:$K,7,0)))</f>
        <v>0</v>
      </c>
      <c r="Q87" s="249">
        <f>IF($C87="",0,IF(ISNA(VLOOKUP($A87&amp;"_"&amp;Q$4,'2. หน้างบรายจ่าย'!$C:$K,8,0)),0,VLOOKUP($A87&amp;"_"&amp;Q$4,'2. หน้างบรายจ่าย'!$C:$K,8,0)))</f>
        <v>0</v>
      </c>
      <c r="R87" s="247">
        <f>IF($C87="",0,IF(ISNA(VLOOKUP($A87&amp;"_"&amp;R$4,'2. หน้างบรายจ่าย'!$C:$K,9,0)),0,VLOOKUP($A87&amp;"_"&amp;R$4,'2. หน้างบรายจ่าย'!$C:$K,9,0)))</f>
        <v>0</v>
      </c>
      <c r="S87" s="247">
        <f>IF($C87="",0,IF(ISNA(VLOOKUP($A87&amp;"_"&amp;S$4,'2. หน้างบรายจ่าย'!$C:$K,7,0)),0,VLOOKUP($A87&amp;"_"&amp;S$4,'2. หน้างบรายจ่าย'!$C:$K,7,0)))</f>
        <v>0</v>
      </c>
      <c r="T87" s="247">
        <f>IF($C87="",0,IF(ISNA(VLOOKUP($A87&amp;"_"&amp;T$4,'2. หน้างบรายจ่าย'!$C:$K,8,0)),0,VLOOKUP($A87&amp;"_"&amp;T$4,'2. หน้างบรายจ่าย'!$C:$K,8,0)))</f>
        <v>0</v>
      </c>
      <c r="U87" s="247">
        <f>IF($C87="",0,IF(ISNA(VLOOKUP($A87&amp;"_"&amp;U$4,'2. หน้างบรายจ่าย'!$C:$K,9,0)),0,VLOOKUP($A87&amp;"_"&amp;U$4,'2. หน้างบรายจ่าย'!$C:$K,9,0)))</f>
        <v>0</v>
      </c>
      <c r="V87" s="247">
        <f>IF($C87="",0,IF(ISNA(VLOOKUP($A87&amp;"_"&amp;V$4,'2. หน้างบรายจ่าย'!$C:$K,7,0)),0,VLOOKUP($A87&amp;"_"&amp;V$4,'2. หน้างบรายจ่าย'!$C:$K,7,0)))</f>
        <v>0</v>
      </c>
      <c r="W87" s="247">
        <f>IF($C87="",0,IF(ISNA(VLOOKUP($A87&amp;"_"&amp;W$4,'2. หน้างบรายจ่าย'!$C:$K,8,0)),0,VLOOKUP($A87&amp;"_"&amp;W$4,'2. หน้างบรายจ่าย'!$C:$K,8,0)))</f>
        <v>0</v>
      </c>
      <c r="X87" s="247">
        <f>IF($C87="",0,IF(ISNA(VLOOKUP($A87&amp;"_"&amp;X$4,'2. หน้างบรายจ่าย'!$C:$K,9,0)),0,VLOOKUP($A87&amp;"_"&amp;X$4,'2. หน้างบรายจ่าย'!$C:$K,9,0)))</f>
        <v>0</v>
      </c>
      <c r="Y87" s="247">
        <f>IF($C87="",0,IF(ISNA(VLOOKUP($A87&amp;"_"&amp;Y$4,'2. หน้างบรายจ่าย'!$C:$K,7,0)),0,VLOOKUP($A87&amp;"_"&amp;Y$4,'2. หน้างบรายจ่าย'!$C:$K,7,0)))</f>
        <v>0</v>
      </c>
      <c r="Z87" s="247">
        <f>IF($C87="",0,IF(ISNA(VLOOKUP($A87&amp;"_"&amp;Z$4,'2. หน้างบรายจ่าย'!$C:$K,8,0)),0,VLOOKUP($A87&amp;"_"&amp;Z$4,'2. หน้างบรายจ่าย'!$C:$K,8,0)))</f>
        <v>0</v>
      </c>
      <c r="AA87" s="247">
        <f>IF($C87="",0,IF(ISNA(VLOOKUP($A87&amp;"_"&amp;AA$4,'2. หน้างบรายจ่าย'!$C:$K,9,0)),0,VLOOKUP($A87&amp;"_"&amp;AA$4,'2. หน้างบรายจ่าย'!$C:$K,9,0)))</f>
        <v>0</v>
      </c>
      <c r="AB87" s="247">
        <f>IF($C87="",0,IF(ISNA(VLOOKUP($A87&amp;"_"&amp;AB$4,'2. หน้างบรายจ่าย'!$C:$K,7,0)),0,VLOOKUP($A87&amp;"_"&amp;AB$4,'2. หน้างบรายจ่าย'!$C:$K,7,0)))</f>
        <v>0</v>
      </c>
      <c r="AC87" s="251">
        <f>IF($C87="",0,IF(ISNA(VLOOKUP($A87&amp;"_"&amp;AC$4,'2. หน้างบรายจ่าย'!$C:$K,8,0)),0,VLOOKUP($A87&amp;"_"&amp;AC$4,'2. หน้างบรายจ่าย'!$C:$K,8,0)))</f>
        <v>0</v>
      </c>
      <c r="AD87" s="248">
        <f>IF($C87="",0,IF(ISNA(VLOOKUP($A87&amp;"_"&amp;AD$4,'2. หน้างบรายจ่าย'!$C:$K,9,0)),0,VLOOKUP($A87&amp;"_"&amp;AD$4,'2. หน้างบรายจ่าย'!$C:$K,9,0)))</f>
        <v>0</v>
      </c>
      <c r="AE87" s="246">
        <f>IF($C87="",0,IF(ISNA(VLOOKUP($A87&amp;"_"&amp;AE$4,'2. หน้างบรายจ่าย'!$C:$K,7,0)),0,VLOOKUP($A87&amp;"_"&amp;AE$4,'2. หน้างบรายจ่าย'!$C:$K,7,0)))</f>
        <v>0</v>
      </c>
      <c r="AF87" s="250">
        <f>IF($C87="",0,IF(ISNA(VLOOKUP($A87&amp;"_"&amp;AF$4,'2. หน้างบรายจ่าย'!$C:$K,8,0)),0,VLOOKUP($A87&amp;"_"&amp;AF$4,'2. หน้างบรายจ่าย'!$C:$K,8,0)))</f>
        <v>0</v>
      </c>
      <c r="AG87" s="248">
        <f>IF($C87="",0,IF(ISNA(VLOOKUP($A87&amp;"_"&amp;AG$4,'2. หน้างบรายจ่าย'!$C:$K,9,0)),0,VLOOKUP($A87&amp;"_"&amp;AG$4,'2. หน้างบรายจ่าย'!$C:$K,9,0)))</f>
        <v>0</v>
      </c>
      <c r="AH87" s="249">
        <f>IF($C87="",0,IF(ISNA(VLOOKUP($A87&amp;"_"&amp;AH$4,'2. หน้างบรายจ่าย'!$C:$K,7,0)),0,VLOOKUP($A87&amp;"_"&amp;AH$4,'2. หน้างบรายจ่าย'!$C:$K,7,0)))</f>
        <v>0</v>
      </c>
      <c r="AI87" s="250">
        <f>IF($C87="",0,IF(ISNA(VLOOKUP($A87&amp;"_"&amp;AI$4,'2. หน้างบรายจ่าย'!$C:$K,8,0)),0,VLOOKUP($A87&amp;"_"&amp;AI$4,'2. หน้างบรายจ่าย'!$C:$K,8,0)))</f>
        <v>0</v>
      </c>
      <c r="AJ87" s="248">
        <f>IF($C87="",0,IF(ISNA(VLOOKUP($A87&amp;"_"&amp;AJ$4,'2. หน้างบรายจ่าย'!$C:$K,9,0)),0,VLOOKUP($A87&amp;"_"&amp;AJ$4,'2. หน้างบรายจ่าย'!$C:$K,9,0)))</f>
        <v>0</v>
      </c>
      <c r="AK87" s="249">
        <f>IF($C87="",0,IF(ISNA(VLOOKUP($A87&amp;"_"&amp;AK$4,'2. หน้างบรายจ่าย'!$C:$K,7,0)),0,VLOOKUP($A87&amp;"_"&amp;AK$4,'2. หน้างบรายจ่าย'!$C:$K,7,0)))</f>
        <v>0</v>
      </c>
      <c r="AL87" s="250">
        <f>IF($C87="",0,IF(ISNA(VLOOKUP($A87&amp;"_"&amp;AL$4,'2. หน้างบรายจ่าย'!$C:$K,8,0)),0,VLOOKUP($A87&amp;"_"&amp;AL$4,'2. หน้างบรายจ่าย'!$C:$K,8,0)))</f>
        <v>0</v>
      </c>
      <c r="AM87" s="248">
        <f>IF($C87="",0,IF(ISNA(VLOOKUP($A87&amp;"_"&amp;AM$4,'2. หน้างบรายจ่าย'!$C:$K,9,0)),0,VLOOKUP($A87&amp;"_"&amp;AM$4,'2. หน้างบรายจ่าย'!$C:$K,9,0)))</f>
        <v>0</v>
      </c>
      <c r="AP87" s="171" t="str">
        <f t="shared" si="29"/>
        <v>No</v>
      </c>
    </row>
    <row r="88" spans="1:42" ht="25.5" hidden="1" customHeight="1">
      <c r="A88" s="210">
        <v>59</v>
      </c>
      <c r="B88" s="244" t="str">
        <f>IF(ISNA(VLOOKUP(A88,'2. หน้างบรายจ่าย'!$A:$K,4,0)),"",TEXT(VLOOKUP(A88,'2. หน้างบรายจ่าย'!$A:$K,4,0),"dd ดดด yy"))</f>
        <v/>
      </c>
      <c r="C88" s="245" t="str">
        <f>IF(ISNA(VLOOKUP(A88,'2. หน้างบรายจ่าย'!$A:$K,8,0)),"",VLOOKUP(A88,'2. หน้างบรายจ่าย'!$A:$K,8,0))</f>
        <v/>
      </c>
      <c r="D88" s="231">
        <f t="shared" si="26"/>
        <v>0</v>
      </c>
      <c r="E88" s="232">
        <f t="shared" si="27"/>
        <v>0</v>
      </c>
      <c r="F88" s="231">
        <f t="shared" si="28"/>
        <v>0</v>
      </c>
      <c r="G88" s="247">
        <f>IF($C88="",0,IF(ISNA(VLOOKUP($A88&amp;"_"&amp;G$4,'2. หน้างบรายจ่าย'!$C:$K,7,0)),0,VLOOKUP($A88&amp;"_"&amp;G$4,'2. หน้างบรายจ่าย'!$C:$K,7,0)))</f>
        <v>0</v>
      </c>
      <c r="H88" s="247">
        <f>IF($C88="",0,IF(ISNA(VLOOKUP($A88&amp;"_"&amp;H$4,'2. หน้างบรายจ่าย'!$C:$K,8,0)),0,VLOOKUP($A88&amp;"_"&amp;H$4,'2. หน้างบรายจ่าย'!$C:$K,8,0)))</f>
        <v>0</v>
      </c>
      <c r="I88" s="247">
        <f>IF($C88="",0,IF(ISNA(VLOOKUP($A88&amp;"_"&amp;I$4,'2. หน้างบรายจ่าย'!$C:$K,9,0)),0,VLOOKUP($A88&amp;"_"&amp;I$4,'2. หน้างบรายจ่าย'!$C:$K,9,0)))</f>
        <v>0</v>
      </c>
      <c r="J88" s="247">
        <f>IF($C88="",0,IF(ISNA(VLOOKUP($A88&amp;"_"&amp;J$4,'2. หน้างบรายจ่าย'!$C:$K,7,0)),0,VLOOKUP($A88&amp;"_"&amp;J$4,'2. หน้างบรายจ่าย'!$C:$K,7,0)))</f>
        <v>0</v>
      </c>
      <c r="K88" s="247">
        <f>IF($C88="",0,IF(ISNA(VLOOKUP($A88&amp;"_"&amp;K$4,'2. หน้างบรายจ่าย'!$C:$K,8,0)),0,VLOOKUP($A88&amp;"_"&amp;K$4,'2. หน้างบรายจ่าย'!$C:$K,8,0)))</f>
        <v>0</v>
      </c>
      <c r="L88" s="247">
        <f>IF($C88="",0,IF(ISNA(VLOOKUP($A88&amp;"_"&amp;L$4,'2. หน้างบรายจ่าย'!$C:$K,9,0)),0,VLOOKUP($A88&amp;"_"&amp;L$4,'2. หน้างบรายจ่าย'!$C:$K,9,0)))</f>
        <v>0</v>
      </c>
      <c r="M88" s="247">
        <f>IF($C88="",0,IF(ISNA(VLOOKUP($A88&amp;"_"&amp;M$4,'2. หน้างบรายจ่าย'!$C:$K,7,0)),0,VLOOKUP($A88&amp;"_"&amp;M$4,'2. หน้างบรายจ่าย'!$C:$K,7,0)))</f>
        <v>0</v>
      </c>
      <c r="N88" s="247">
        <f>IF($C88="",0,IF(ISNA(VLOOKUP($A88&amp;"_"&amp;N$4,'2. หน้างบรายจ่าย'!$C:$K,8,0)),0,VLOOKUP($A88&amp;"_"&amp;N$4,'2. หน้างบรายจ่าย'!$C:$K,8,0)))</f>
        <v>0</v>
      </c>
      <c r="O88" s="248">
        <f>IF($C88="",0,IF(ISNA(VLOOKUP($A88&amp;"_"&amp;O$4,'2. หน้างบรายจ่าย'!$C:$K,9,0)),0,VLOOKUP($A88&amp;"_"&amp;O$4,'2. หน้างบรายจ่าย'!$C:$K,9,0)))</f>
        <v>0</v>
      </c>
      <c r="P88" s="246">
        <f>IF($C88="",0,IF(ISNA(VLOOKUP($A88&amp;"_"&amp;P$4,'2. หน้างบรายจ่าย'!$C:$K,7,0)),0,VLOOKUP($A88&amp;"_"&amp;P$4,'2. หน้างบรายจ่าย'!$C:$K,7,0)))</f>
        <v>0</v>
      </c>
      <c r="Q88" s="249">
        <f>IF($C88="",0,IF(ISNA(VLOOKUP($A88&amp;"_"&amp;Q$4,'2. หน้างบรายจ่าย'!$C:$K,8,0)),0,VLOOKUP($A88&amp;"_"&amp;Q$4,'2. หน้างบรายจ่าย'!$C:$K,8,0)))</f>
        <v>0</v>
      </c>
      <c r="R88" s="247">
        <f>IF($C88="",0,IF(ISNA(VLOOKUP($A88&amp;"_"&amp;R$4,'2. หน้างบรายจ่าย'!$C:$K,9,0)),0,VLOOKUP($A88&amp;"_"&amp;R$4,'2. หน้างบรายจ่าย'!$C:$K,9,0)))</f>
        <v>0</v>
      </c>
      <c r="S88" s="247">
        <f>IF($C88="",0,IF(ISNA(VLOOKUP($A88&amp;"_"&amp;S$4,'2. หน้างบรายจ่าย'!$C:$K,7,0)),0,VLOOKUP($A88&amp;"_"&amp;S$4,'2. หน้างบรายจ่าย'!$C:$K,7,0)))</f>
        <v>0</v>
      </c>
      <c r="T88" s="247">
        <f>IF($C88="",0,IF(ISNA(VLOOKUP($A88&amp;"_"&amp;T$4,'2. หน้างบรายจ่าย'!$C:$K,8,0)),0,VLOOKUP($A88&amp;"_"&amp;T$4,'2. หน้างบรายจ่าย'!$C:$K,8,0)))</f>
        <v>0</v>
      </c>
      <c r="U88" s="247">
        <f>IF($C88="",0,IF(ISNA(VLOOKUP($A88&amp;"_"&amp;U$4,'2. หน้างบรายจ่าย'!$C:$K,9,0)),0,VLOOKUP($A88&amp;"_"&amp;U$4,'2. หน้างบรายจ่าย'!$C:$K,9,0)))</f>
        <v>0</v>
      </c>
      <c r="V88" s="247">
        <f>IF($C88="",0,IF(ISNA(VLOOKUP($A88&amp;"_"&amp;V$4,'2. หน้างบรายจ่าย'!$C:$K,7,0)),0,VLOOKUP($A88&amp;"_"&amp;V$4,'2. หน้างบรายจ่าย'!$C:$K,7,0)))</f>
        <v>0</v>
      </c>
      <c r="W88" s="247">
        <f>IF($C88="",0,IF(ISNA(VLOOKUP($A88&amp;"_"&amp;W$4,'2. หน้างบรายจ่าย'!$C:$K,8,0)),0,VLOOKUP($A88&amp;"_"&amp;W$4,'2. หน้างบรายจ่าย'!$C:$K,8,0)))</f>
        <v>0</v>
      </c>
      <c r="X88" s="247">
        <f>IF($C88="",0,IF(ISNA(VLOOKUP($A88&amp;"_"&amp;X$4,'2. หน้างบรายจ่าย'!$C:$K,9,0)),0,VLOOKUP($A88&amp;"_"&amp;X$4,'2. หน้างบรายจ่าย'!$C:$K,9,0)))</f>
        <v>0</v>
      </c>
      <c r="Y88" s="247">
        <f>IF($C88="",0,IF(ISNA(VLOOKUP($A88&amp;"_"&amp;Y$4,'2. หน้างบรายจ่าย'!$C:$K,7,0)),0,VLOOKUP($A88&amp;"_"&amp;Y$4,'2. หน้างบรายจ่าย'!$C:$K,7,0)))</f>
        <v>0</v>
      </c>
      <c r="Z88" s="247">
        <f>IF($C88="",0,IF(ISNA(VLOOKUP($A88&amp;"_"&amp;Z$4,'2. หน้างบรายจ่าย'!$C:$K,8,0)),0,VLOOKUP($A88&amp;"_"&amp;Z$4,'2. หน้างบรายจ่าย'!$C:$K,8,0)))</f>
        <v>0</v>
      </c>
      <c r="AA88" s="247">
        <f>IF($C88="",0,IF(ISNA(VLOOKUP($A88&amp;"_"&amp;AA$4,'2. หน้างบรายจ่าย'!$C:$K,9,0)),0,VLOOKUP($A88&amp;"_"&amp;AA$4,'2. หน้างบรายจ่าย'!$C:$K,9,0)))</f>
        <v>0</v>
      </c>
      <c r="AB88" s="247">
        <f>IF($C88="",0,IF(ISNA(VLOOKUP($A88&amp;"_"&amp;AB$4,'2. หน้างบรายจ่าย'!$C:$K,7,0)),0,VLOOKUP($A88&amp;"_"&amp;AB$4,'2. หน้างบรายจ่าย'!$C:$K,7,0)))</f>
        <v>0</v>
      </c>
      <c r="AC88" s="251">
        <f>IF($C88="",0,IF(ISNA(VLOOKUP($A88&amp;"_"&amp;AC$4,'2. หน้างบรายจ่าย'!$C:$K,8,0)),0,VLOOKUP($A88&amp;"_"&amp;AC$4,'2. หน้างบรายจ่าย'!$C:$K,8,0)))</f>
        <v>0</v>
      </c>
      <c r="AD88" s="248">
        <f>IF($C88="",0,IF(ISNA(VLOOKUP($A88&amp;"_"&amp;AD$4,'2. หน้างบรายจ่าย'!$C:$K,9,0)),0,VLOOKUP($A88&amp;"_"&amp;AD$4,'2. หน้างบรายจ่าย'!$C:$K,9,0)))</f>
        <v>0</v>
      </c>
      <c r="AE88" s="246">
        <f>IF($C88="",0,IF(ISNA(VLOOKUP($A88&amp;"_"&amp;AE$4,'2. หน้างบรายจ่าย'!$C:$K,7,0)),0,VLOOKUP($A88&amp;"_"&amp;AE$4,'2. หน้างบรายจ่าย'!$C:$K,7,0)))</f>
        <v>0</v>
      </c>
      <c r="AF88" s="250">
        <f>IF($C88="",0,IF(ISNA(VLOOKUP($A88&amp;"_"&amp;AF$4,'2. หน้างบรายจ่าย'!$C:$K,8,0)),0,VLOOKUP($A88&amp;"_"&amp;AF$4,'2. หน้างบรายจ่าย'!$C:$K,8,0)))</f>
        <v>0</v>
      </c>
      <c r="AG88" s="248">
        <f>IF($C88="",0,IF(ISNA(VLOOKUP($A88&amp;"_"&amp;AG$4,'2. หน้างบรายจ่าย'!$C:$K,9,0)),0,VLOOKUP($A88&amp;"_"&amp;AG$4,'2. หน้างบรายจ่าย'!$C:$K,9,0)))</f>
        <v>0</v>
      </c>
      <c r="AH88" s="249">
        <f>IF($C88="",0,IF(ISNA(VLOOKUP($A88&amp;"_"&amp;AH$4,'2. หน้างบรายจ่าย'!$C:$K,7,0)),0,VLOOKUP($A88&amp;"_"&amp;AH$4,'2. หน้างบรายจ่าย'!$C:$K,7,0)))</f>
        <v>0</v>
      </c>
      <c r="AI88" s="250">
        <f>IF($C88="",0,IF(ISNA(VLOOKUP($A88&amp;"_"&amp;AI$4,'2. หน้างบรายจ่าย'!$C:$K,8,0)),0,VLOOKUP($A88&amp;"_"&amp;AI$4,'2. หน้างบรายจ่าย'!$C:$K,8,0)))</f>
        <v>0</v>
      </c>
      <c r="AJ88" s="248">
        <f>IF($C88="",0,IF(ISNA(VLOOKUP($A88&amp;"_"&amp;AJ$4,'2. หน้างบรายจ่าย'!$C:$K,9,0)),0,VLOOKUP($A88&amp;"_"&amp;AJ$4,'2. หน้างบรายจ่าย'!$C:$K,9,0)))</f>
        <v>0</v>
      </c>
      <c r="AK88" s="249">
        <f>IF($C88="",0,IF(ISNA(VLOOKUP($A88&amp;"_"&amp;AK$4,'2. หน้างบรายจ่าย'!$C:$K,7,0)),0,VLOOKUP($A88&amp;"_"&amp;AK$4,'2. หน้างบรายจ่าย'!$C:$K,7,0)))</f>
        <v>0</v>
      </c>
      <c r="AL88" s="250">
        <f>IF($C88="",0,IF(ISNA(VLOOKUP($A88&amp;"_"&amp;AL$4,'2. หน้างบรายจ่าย'!$C:$K,8,0)),0,VLOOKUP($A88&amp;"_"&amp;AL$4,'2. หน้างบรายจ่าย'!$C:$K,8,0)))</f>
        <v>0</v>
      </c>
      <c r="AM88" s="248">
        <f>IF($C88="",0,IF(ISNA(VLOOKUP($A88&amp;"_"&amp;AM$4,'2. หน้างบรายจ่าย'!$C:$K,9,0)),0,VLOOKUP($A88&amp;"_"&amp;AM$4,'2. หน้างบรายจ่าย'!$C:$K,9,0)))</f>
        <v>0</v>
      </c>
      <c r="AP88" s="171" t="str">
        <f t="shared" si="29"/>
        <v>No</v>
      </c>
    </row>
    <row r="89" spans="1:42" ht="25.5" hidden="1" customHeight="1">
      <c r="A89" s="210">
        <v>60</v>
      </c>
      <c r="B89" s="244" t="str">
        <f>IF(ISNA(VLOOKUP(A89,'2. หน้างบรายจ่าย'!$A:$K,4,0)),"",TEXT(VLOOKUP(A89,'2. หน้างบรายจ่าย'!$A:$K,4,0),"dd ดดด yy"))</f>
        <v/>
      </c>
      <c r="C89" s="245" t="str">
        <f>IF(ISNA(VLOOKUP(A89,'2. หน้างบรายจ่าย'!$A:$K,8,0)),"",VLOOKUP(A89,'2. หน้างบรายจ่าย'!$A:$K,8,0))</f>
        <v/>
      </c>
      <c r="D89" s="231">
        <f t="shared" si="26"/>
        <v>0</v>
      </c>
      <c r="E89" s="232">
        <f t="shared" si="27"/>
        <v>0</v>
      </c>
      <c r="F89" s="231">
        <f t="shared" si="28"/>
        <v>0</v>
      </c>
      <c r="G89" s="247">
        <f>IF($C89="",0,IF(ISNA(VLOOKUP($A89&amp;"_"&amp;G$4,'2. หน้างบรายจ่าย'!$C:$K,7,0)),0,VLOOKUP($A89&amp;"_"&amp;G$4,'2. หน้างบรายจ่าย'!$C:$K,7,0)))</f>
        <v>0</v>
      </c>
      <c r="H89" s="247">
        <f>IF($C89="",0,IF(ISNA(VLOOKUP($A89&amp;"_"&amp;H$4,'2. หน้างบรายจ่าย'!$C:$K,8,0)),0,VLOOKUP($A89&amp;"_"&amp;H$4,'2. หน้างบรายจ่าย'!$C:$K,8,0)))</f>
        <v>0</v>
      </c>
      <c r="I89" s="247">
        <f>IF($C89="",0,IF(ISNA(VLOOKUP($A89&amp;"_"&amp;I$4,'2. หน้างบรายจ่าย'!$C:$K,9,0)),0,VLOOKUP($A89&amp;"_"&amp;I$4,'2. หน้างบรายจ่าย'!$C:$K,9,0)))</f>
        <v>0</v>
      </c>
      <c r="J89" s="247">
        <f>IF($C89="",0,IF(ISNA(VLOOKUP($A89&amp;"_"&amp;J$4,'2. หน้างบรายจ่าย'!$C:$K,7,0)),0,VLOOKUP($A89&amp;"_"&amp;J$4,'2. หน้างบรายจ่าย'!$C:$K,7,0)))</f>
        <v>0</v>
      </c>
      <c r="K89" s="247">
        <f>IF($C89="",0,IF(ISNA(VLOOKUP($A89&amp;"_"&amp;K$4,'2. หน้างบรายจ่าย'!$C:$K,8,0)),0,VLOOKUP($A89&amp;"_"&amp;K$4,'2. หน้างบรายจ่าย'!$C:$K,8,0)))</f>
        <v>0</v>
      </c>
      <c r="L89" s="247">
        <f>IF($C89="",0,IF(ISNA(VLOOKUP($A89&amp;"_"&amp;L$4,'2. หน้างบรายจ่าย'!$C:$K,9,0)),0,VLOOKUP($A89&amp;"_"&amp;L$4,'2. หน้างบรายจ่าย'!$C:$K,9,0)))</f>
        <v>0</v>
      </c>
      <c r="M89" s="247">
        <f>IF($C89="",0,IF(ISNA(VLOOKUP($A89&amp;"_"&amp;M$4,'2. หน้างบรายจ่าย'!$C:$K,7,0)),0,VLOOKUP($A89&amp;"_"&amp;M$4,'2. หน้างบรายจ่าย'!$C:$K,7,0)))</f>
        <v>0</v>
      </c>
      <c r="N89" s="247">
        <f>IF($C89="",0,IF(ISNA(VLOOKUP($A89&amp;"_"&amp;N$4,'2. หน้างบรายจ่าย'!$C:$K,8,0)),0,VLOOKUP($A89&amp;"_"&amp;N$4,'2. หน้างบรายจ่าย'!$C:$K,8,0)))</f>
        <v>0</v>
      </c>
      <c r="O89" s="248">
        <f>IF($C89="",0,IF(ISNA(VLOOKUP($A89&amp;"_"&amp;O$4,'2. หน้างบรายจ่าย'!$C:$K,9,0)),0,VLOOKUP($A89&amp;"_"&amp;O$4,'2. หน้างบรายจ่าย'!$C:$K,9,0)))</f>
        <v>0</v>
      </c>
      <c r="P89" s="246">
        <f>IF($C89="",0,IF(ISNA(VLOOKUP($A89&amp;"_"&amp;P$4,'2. หน้างบรายจ่าย'!$C:$K,7,0)),0,VLOOKUP($A89&amp;"_"&amp;P$4,'2. หน้างบรายจ่าย'!$C:$K,7,0)))</f>
        <v>0</v>
      </c>
      <c r="Q89" s="249">
        <f>IF($C89="",0,IF(ISNA(VLOOKUP($A89&amp;"_"&amp;Q$4,'2. หน้างบรายจ่าย'!$C:$K,8,0)),0,VLOOKUP($A89&amp;"_"&amp;Q$4,'2. หน้างบรายจ่าย'!$C:$K,8,0)))</f>
        <v>0</v>
      </c>
      <c r="R89" s="247">
        <f>IF($C89="",0,IF(ISNA(VLOOKUP($A89&amp;"_"&amp;R$4,'2. หน้างบรายจ่าย'!$C:$K,9,0)),0,VLOOKUP($A89&amp;"_"&amp;R$4,'2. หน้างบรายจ่าย'!$C:$K,9,0)))</f>
        <v>0</v>
      </c>
      <c r="S89" s="247">
        <f>IF($C89="",0,IF(ISNA(VLOOKUP($A89&amp;"_"&amp;S$4,'2. หน้างบรายจ่าย'!$C:$K,7,0)),0,VLOOKUP($A89&amp;"_"&amp;S$4,'2. หน้างบรายจ่าย'!$C:$K,7,0)))</f>
        <v>0</v>
      </c>
      <c r="T89" s="247">
        <f>IF($C89="",0,IF(ISNA(VLOOKUP($A89&amp;"_"&amp;T$4,'2. หน้างบรายจ่าย'!$C:$K,8,0)),0,VLOOKUP($A89&amp;"_"&amp;T$4,'2. หน้างบรายจ่าย'!$C:$K,8,0)))</f>
        <v>0</v>
      </c>
      <c r="U89" s="247">
        <f>IF($C89="",0,IF(ISNA(VLOOKUP($A89&amp;"_"&amp;U$4,'2. หน้างบรายจ่าย'!$C:$K,9,0)),0,VLOOKUP($A89&amp;"_"&amp;U$4,'2. หน้างบรายจ่าย'!$C:$K,9,0)))</f>
        <v>0</v>
      </c>
      <c r="V89" s="247">
        <f>IF($C89="",0,IF(ISNA(VLOOKUP($A89&amp;"_"&amp;V$4,'2. หน้างบรายจ่าย'!$C:$K,7,0)),0,VLOOKUP($A89&amp;"_"&amp;V$4,'2. หน้างบรายจ่าย'!$C:$K,7,0)))</f>
        <v>0</v>
      </c>
      <c r="W89" s="247">
        <f>IF($C89="",0,IF(ISNA(VLOOKUP($A89&amp;"_"&amp;W$4,'2. หน้างบรายจ่าย'!$C:$K,8,0)),0,VLOOKUP($A89&amp;"_"&amp;W$4,'2. หน้างบรายจ่าย'!$C:$K,8,0)))</f>
        <v>0</v>
      </c>
      <c r="X89" s="247">
        <f>IF($C89="",0,IF(ISNA(VLOOKUP($A89&amp;"_"&amp;X$4,'2. หน้างบรายจ่าย'!$C:$K,9,0)),0,VLOOKUP($A89&amp;"_"&amp;X$4,'2. หน้างบรายจ่าย'!$C:$K,9,0)))</f>
        <v>0</v>
      </c>
      <c r="Y89" s="247">
        <f>IF($C89="",0,IF(ISNA(VLOOKUP($A89&amp;"_"&amp;Y$4,'2. หน้างบรายจ่าย'!$C:$K,7,0)),0,VLOOKUP($A89&amp;"_"&amp;Y$4,'2. หน้างบรายจ่าย'!$C:$K,7,0)))</f>
        <v>0</v>
      </c>
      <c r="Z89" s="247">
        <f>IF($C89="",0,IF(ISNA(VLOOKUP($A89&amp;"_"&amp;Z$4,'2. หน้างบรายจ่าย'!$C:$K,8,0)),0,VLOOKUP($A89&amp;"_"&amp;Z$4,'2. หน้างบรายจ่าย'!$C:$K,8,0)))</f>
        <v>0</v>
      </c>
      <c r="AA89" s="247">
        <f>IF($C89="",0,IF(ISNA(VLOOKUP($A89&amp;"_"&amp;AA$4,'2. หน้างบรายจ่าย'!$C:$K,9,0)),0,VLOOKUP($A89&amp;"_"&amp;AA$4,'2. หน้างบรายจ่าย'!$C:$K,9,0)))</f>
        <v>0</v>
      </c>
      <c r="AB89" s="247">
        <f>IF($C89="",0,IF(ISNA(VLOOKUP($A89&amp;"_"&amp;AB$4,'2. หน้างบรายจ่าย'!$C:$K,7,0)),0,VLOOKUP($A89&amp;"_"&amp;AB$4,'2. หน้างบรายจ่าย'!$C:$K,7,0)))</f>
        <v>0</v>
      </c>
      <c r="AC89" s="251">
        <f>IF($C89="",0,IF(ISNA(VLOOKUP($A89&amp;"_"&amp;AC$4,'2. หน้างบรายจ่าย'!$C:$K,8,0)),0,VLOOKUP($A89&amp;"_"&amp;AC$4,'2. หน้างบรายจ่าย'!$C:$K,8,0)))</f>
        <v>0</v>
      </c>
      <c r="AD89" s="248">
        <f>IF($C89="",0,IF(ISNA(VLOOKUP($A89&amp;"_"&amp;AD$4,'2. หน้างบรายจ่าย'!$C:$K,9,0)),0,VLOOKUP($A89&amp;"_"&amp;AD$4,'2. หน้างบรายจ่าย'!$C:$K,9,0)))</f>
        <v>0</v>
      </c>
      <c r="AE89" s="246">
        <f>IF($C89="",0,IF(ISNA(VLOOKUP($A89&amp;"_"&amp;AE$4,'2. หน้างบรายจ่าย'!$C:$K,7,0)),0,VLOOKUP($A89&amp;"_"&amp;AE$4,'2. หน้างบรายจ่าย'!$C:$K,7,0)))</f>
        <v>0</v>
      </c>
      <c r="AF89" s="250">
        <f>IF($C89="",0,IF(ISNA(VLOOKUP($A89&amp;"_"&amp;AF$4,'2. หน้างบรายจ่าย'!$C:$K,8,0)),0,VLOOKUP($A89&amp;"_"&amp;AF$4,'2. หน้างบรายจ่าย'!$C:$K,8,0)))</f>
        <v>0</v>
      </c>
      <c r="AG89" s="248">
        <f>IF($C89="",0,IF(ISNA(VLOOKUP($A89&amp;"_"&amp;AG$4,'2. หน้างบรายจ่าย'!$C:$K,9,0)),0,VLOOKUP($A89&amp;"_"&amp;AG$4,'2. หน้างบรายจ่าย'!$C:$K,9,0)))</f>
        <v>0</v>
      </c>
      <c r="AH89" s="249">
        <f>IF($C89="",0,IF(ISNA(VLOOKUP($A89&amp;"_"&amp;AH$4,'2. หน้างบรายจ่าย'!$C:$K,7,0)),0,VLOOKUP($A89&amp;"_"&amp;AH$4,'2. หน้างบรายจ่าย'!$C:$K,7,0)))</f>
        <v>0</v>
      </c>
      <c r="AI89" s="250">
        <f>IF($C89="",0,IF(ISNA(VLOOKUP($A89&amp;"_"&amp;AI$4,'2. หน้างบรายจ่าย'!$C:$K,8,0)),0,VLOOKUP($A89&amp;"_"&amp;AI$4,'2. หน้างบรายจ่าย'!$C:$K,8,0)))</f>
        <v>0</v>
      </c>
      <c r="AJ89" s="248">
        <f>IF($C89="",0,IF(ISNA(VLOOKUP($A89&amp;"_"&amp;AJ$4,'2. หน้างบรายจ่าย'!$C:$K,9,0)),0,VLOOKUP($A89&amp;"_"&amp;AJ$4,'2. หน้างบรายจ่าย'!$C:$K,9,0)))</f>
        <v>0</v>
      </c>
      <c r="AK89" s="249">
        <f>IF($C89="",0,IF(ISNA(VLOOKUP($A89&amp;"_"&amp;AK$4,'2. หน้างบรายจ่าย'!$C:$K,7,0)),0,VLOOKUP($A89&amp;"_"&amp;AK$4,'2. หน้างบรายจ่าย'!$C:$K,7,0)))</f>
        <v>0</v>
      </c>
      <c r="AL89" s="250">
        <f>IF($C89="",0,IF(ISNA(VLOOKUP($A89&amp;"_"&amp;AL$4,'2. หน้างบรายจ่าย'!$C:$K,8,0)),0,VLOOKUP($A89&amp;"_"&amp;AL$4,'2. หน้างบรายจ่าย'!$C:$K,8,0)))</f>
        <v>0</v>
      </c>
      <c r="AM89" s="248">
        <f>IF($C89="",0,IF(ISNA(VLOOKUP($A89&amp;"_"&amp;AM$4,'2. หน้างบรายจ่าย'!$C:$K,9,0)),0,VLOOKUP($A89&amp;"_"&amp;AM$4,'2. หน้างบรายจ่าย'!$C:$K,9,0)))</f>
        <v>0</v>
      </c>
      <c r="AP89" s="171" t="str">
        <f t="shared" si="29"/>
        <v>No</v>
      </c>
    </row>
    <row r="90" spans="1:42" ht="25.5" hidden="1" customHeight="1">
      <c r="A90" s="210">
        <v>61</v>
      </c>
      <c r="B90" s="244" t="str">
        <f>IF(ISNA(VLOOKUP(A90,'2. หน้างบรายจ่าย'!$A:$K,4,0)),"",TEXT(VLOOKUP(A90,'2. หน้างบรายจ่าย'!$A:$K,4,0),"dd ดดด yy"))</f>
        <v/>
      </c>
      <c r="C90" s="245" t="str">
        <f>IF(ISNA(VLOOKUP(A90,'2. หน้างบรายจ่าย'!$A:$K,8,0)),"",VLOOKUP(A90,'2. หน้างบรายจ่าย'!$A:$K,8,0))</f>
        <v/>
      </c>
      <c r="D90" s="231">
        <f t="shared" si="22"/>
        <v>0</v>
      </c>
      <c r="E90" s="232">
        <f t="shared" si="23"/>
        <v>0</v>
      </c>
      <c r="F90" s="231">
        <f t="shared" si="24"/>
        <v>0</v>
      </c>
      <c r="G90" s="247">
        <f>IF($C90="",0,IF(ISNA(VLOOKUP($A90&amp;"_"&amp;G$4,'2. หน้างบรายจ่าย'!$C:$K,7,0)),0,VLOOKUP($A90&amp;"_"&amp;G$4,'2. หน้างบรายจ่าย'!$C:$K,7,0)))</f>
        <v>0</v>
      </c>
      <c r="H90" s="247">
        <f>IF($C90="",0,IF(ISNA(VLOOKUP($A90&amp;"_"&amp;H$4,'2. หน้างบรายจ่าย'!$C:$K,8,0)),0,VLOOKUP($A90&amp;"_"&amp;H$4,'2. หน้างบรายจ่าย'!$C:$K,8,0)))</f>
        <v>0</v>
      </c>
      <c r="I90" s="247">
        <f>IF($C90="",0,IF(ISNA(VLOOKUP($A90&amp;"_"&amp;I$4,'2. หน้างบรายจ่าย'!$C:$K,9,0)),0,VLOOKUP($A90&amp;"_"&amp;I$4,'2. หน้างบรายจ่าย'!$C:$K,9,0)))</f>
        <v>0</v>
      </c>
      <c r="J90" s="247">
        <f>IF($C90="",0,IF(ISNA(VLOOKUP($A90&amp;"_"&amp;J$4,'2. หน้างบรายจ่าย'!$C:$K,7,0)),0,VLOOKUP($A90&amp;"_"&amp;J$4,'2. หน้างบรายจ่าย'!$C:$K,7,0)))</f>
        <v>0</v>
      </c>
      <c r="K90" s="247">
        <f>IF($C90="",0,IF(ISNA(VLOOKUP($A90&amp;"_"&amp;K$4,'2. หน้างบรายจ่าย'!$C:$K,8,0)),0,VLOOKUP($A90&amp;"_"&amp;K$4,'2. หน้างบรายจ่าย'!$C:$K,8,0)))</f>
        <v>0</v>
      </c>
      <c r="L90" s="247">
        <f>IF($C90="",0,IF(ISNA(VLOOKUP($A90&amp;"_"&amp;L$4,'2. หน้างบรายจ่าย'!$C:$K,9,0)),0,VLOOKUP($A90&amp;"_"&amp;L$4,'2. หน้างบรายจ่าย'!$C:$K,9,0)))</f>
        <v>0</v>
      </c>
      <c r="M90" s="247">
        <f>IF($C90="",0,IF(ISNA(VLOOKUP($A90&amp;"_"&amp;M$4,'2. หน้างบรายจ่าย'!$C:$K,7,0)),0,VLOOKUP($A90&amp;"_"&amp;M$4,'2. หน้างบรายจ่าย'!$C:$K,7,0)))</f>
        <v>0</v>
      </c>
      <c r="N90" s="247">
        <f>IF($C90="",0,IF(ISNA(VLOOKUP($A90&amp;"_"&amp;N$4,'2. หน้างบรายจ่าย'!$C:$K,8,0)),0,VLOOKUP($A90&amp;"_"&amp;N$4,'2. หน้างบรายจ่าย'!$C:$K,8,0)))</f>
        <v>0</v>
      </c>
      <c r="O90" s="248">
        <f>IF($C90="",0,IF(ISNA(VLOOKUP($A90&amp;"_"&amp;O$4,'2. หน้างบรายจ่าย'!$C:$K,9,0)),0,VLOOKUP($A90&amp;"_"&amp;O$4,'2. หน้างบรายจ่าย'!$C:$K,9,0)))</f>
        <v>0</v>
      </c>
      <c r="P90" s="246">
        <f>IF($C90="",0,IF(ISNA(VLOOKUP($A90&amp;"_"&amp;P$4,'2. หน้างบรายจ่าย'!$C:$K,7,0)),0,VLOOKUP($A90&amp;"_"&amp;P$4,'2. หน้างบรายจ่าย'!$C:$K,7,0)))</f>
        <v>0</v>
      </c>
      <c r="Q90" s="249">
        <f>IF($C90="",0,IF(ISNA(VLOOKUP($A90&amp;"_"&amp;Q$4,'2. หน้างบรายจ่าย'!$C:$K,8,0)),0,VLOOKUP($A90&amp;"_"&amp;Q$4,'2. หน้างบรายจ่าย'!$C:$K,8,0)))</f>
        <v>0</v>
      </c>
      <c r="R90" s="247">
        <f>IF($C90="",0,IF(ISNA(VLOOKUP($A90&amp;"_"&amp;R$4,'2. หน้างบรายจ่าย'!$C:$K,9,0)),0,VLOOKUP($A90&amp;"_"&amp;R$4,'2. หน้างบรายจ่าย'!$C:$K,9,0)))</f>
        <v>0</v>
      </c>
      <c r="S90" s="247">
        <f>IF($C90="",0,IF(ISNA(VLOOKUP($A90&amp;"_"&amp;S$4,'2. หน้างบรายจ่าย'!$C:$K,7,0)),0,VLOOKUP($A90&amp;"_"&amp;S$4,'2. หน้างบรายจ่าย'!$C:$K,7,0)))</f>
        <v>0</v>
      </c>
      <c r="T90" s="247">
        <f>IF($C90="",0,IF(ISNA(VLOOKUP($A90&amp;"_"&amp;T$4,'2. หน้างบรายจ่าย'!$C:$K,8,0)),0,VLOOKUP($A90&amp;"_"&amp;T$4,'2. หน้างบรายจ่าย'!$C:$K,8,0)))</f>
        <v>0</v>
      </c>
      <c r="U90" s="247">
        <f>IF($C90="",0,IF(ISNA(VLOOKUP($A90&amp;"_"&amp;U$4,'2. หน้างบรายจ่าย'!$C:$K,9,0)),0,VLOOKUP($A90&amp;"_"&amp;U$4,'2. หน้างบรายจ่าย'!$C:$K,9,0)))</f>
        <v>0</v>
      </c>
      <c r="V90" s="247">
        <f>IF($C90="",0,IF(ISNA(VLOOKUP($A90&amp;"_"&amp;V$4,'2. หน้างบรายจ่าย'!$C:$K,7,0)),0,VLOOKUP($A90&amp;"_"&amp;V$4,'2. หน้างบรายจ่าย'!$C:$K,7,0)))</f>
        <v>0</v>
      </c>
      <c r="W90" s="247">
        <f>IF($C90="",0,IF(ISNA(VLOOKUP($A90&amp;"_"&amp;W$4,'2. หน้างบรายจ่าย'!$C:$K,8,0)),0,VLOOKUP($A90&amp;"_"&amp;W$4,'2. หน้างบรายจ่าย'!$C:$K,8,0)))</f>
        <v>0</v>
      </c>
      <c r="X90" s="247">
        <f>IF($C90="",0,IF(ISNA(VLOOKUP($A90&amp;"_"&amp;X$4,'2. หน้างบรายจ่าย'!$C:$K,9,0)),0,VLOOKUP($A90&amp;"_"&amp;X$4,'2. หน้างบรายจ่าย'!$C:$K,9,0)))</f>
        <v>0</v>
      </c>
      <c r="Y90" s="247">
        <f>IF($C90="",0,IF(ISNA(VLOOKUP($A90&amp;"_"&amp;Y$4,'2. หน้างบรายจ่าย'!$C:$K,7,0)),0,VLOOKUP($A90&amp;"_"&amp;Y$4,'2. หน้างบรายจ่าย'!$C:$K,7,0)))</f>
        <v>0</v>
      </c>
      <c r="Z90" s="247">
        <f>IF($C90="",0,IF(ISNA(VLOOKUP($A90&amp;"_"&amp;Z$4,'2. หน้างบรายจ่าย'!$C:$K,8,0)),0,VLOOKUP($A90&amp;"_"&amp;Z$4,'2. หน้างบรายจ่าย'!$C:$K,8,0)))</f>
        <v>0</v>
      </c>
      <c r="AA90" s="247">
        <f>IF($C90="",0,IF(ISNA(VLOOKUP($A90&amp;"_"&amp;AA$4,'2. หน้างบรายจ่าย'!$C:$K,9,0)),0,VLOOKUP($A90&amp;"_"&amp;AA$4,'2. หน้างบรายจ่าย'!$C:$K,9,0)))</f>
        <v>0</v>
      </c>
      <c r="AB90" s="247">
        <f>IF($C90="",0,IF(ISNA(VLOOKUP($A90&amp;"_"&amp;AB$4,'2. หน้างบรายจ่าย'!$C:$K,7,0)),0,VLOOKUP($A90&amp;"_"&amp;AB$4,'2. หน้างบรายจ่าย'!$C:$K,7,0)))</f>
        <v>0</v>
      </c>
      <c r="AC90" s="251">
        <f>IF($C90="",0,IF(ISNA(VLOOKUP($A90&amp;"_"&amp;AC$4,'2. หน้างบรายจ่าย'!$C:$K,8,0)),0,VLOOKUP($A90&amp;"_"&amp;AC$4,'2. หน้างบรายจ่าย'!$C:$K,8,0)))</f>
        <v>0</v>
      </c>
      <c r="AD90" s="248">
        <f>IF($C90="",0,IF(ISNA(VLOOKUP($A90&amp;"_"&amp;AD$4,'2. หน้างบรายจ่าย'!$C:$K,9,0)),0,VLOOKUP($A90&amp;"_"&amp;AD$4,'2. หน้างบรายจ่าย'!$C:$K,9,0)))</f>
        <v>0</v>
      </c>
      <c r="AE90" s="246">
        <f>IF($C90="",0,IF(ISNA(VLOOKUP($A90&amp;"_"&amp;AE$4,'2. หน้างบรายจ่าย'!$C:$K,7,0)),0,VLOOKUP($A90&amp;"_"&amp;AE$4,'2. หน้างบรายจ่าย'!$C:$K,7,0)))</f>
        <v>0</v>
      </c>
      <c r="AF90" s="250">
        <f>IF($C90="",0,IF(ISNA(VLOOKUP($A90&amp;"_"&amp;AF$4,'2. หน้างบรายจ่าย'!$C:$K,8,0)),0,VLOOKUP($A90&amp;"_"&amp;AF$4,'2. หน้างบรายจ่าย'!$C:$K,8,0)))</f>
        <v>0</v>
      </c>
      <c r="AG90" s="248">
        <f>IF($C90="",0,IF(ISNA(VLOOKUP($A90&amp;"_"&amp;AG$4,'2. หน้างบรายจ่าย'!$C:$K,9,0)),0,VLOOKUP($A90&amp;"_"&amp;AG$4,'2. หน้างบรายจ่าย'!$C:$K,9,0)))</f>
        <v>0</v>
      </c>
      <c r="AH90" s="249">
        <f>IF($C90="",0,IF(ISNA(VLOOKUP($A90&amp;"_"&amp;AH$4,'2. หน้างบรายจ่าย'!$C:$K,7,0)),0,VLOOKUP($A90&amp;"_"&amp;AH$4,'2. หน้างบรายจ่าย'!$C:$K,7,0)))</f>
        <v>0</v>
      </c>
      <c r="AI90" s="250">
        <f>IF($C90="",0,IF(ISNA(VLOOKUP($A90&amp;"_"&amp;AI$4,'2. หน้างบรายจ่าย'!$C:$K,8,0)),0,VLOOKUP($A90&amp;"_"&amp;AI$4,'2. หน้างบรายจ่าย'!$C:$K,8,0)))</f>
        <v>0</v>
      </c>
      <c r="AJ90" s="248">
        <f>IF($C90="",0,IF(ISNA(VLOOKUP($A90&amp;"_"&amp;AJ$4,'2. หน้างบรายจ่าย'!$C:$K,9,0)),0,VLOOKUP($A90&amp;"_"&amp;AJ$4,'2. หน้างบรายจ่าย'!$C:$K,9,0)))</f>
        <v>0</v>
      </c>
      <c r="AK90" s="249">
        <f>IF($C90="",0,IF(ISNA(VLOOKUP($A90&amp;"_"&amp;AK$4,'2. หน้างบรายจ่าย'!$C:$K,7,0)),0,VLOOKUP($A90&amp;"_"&amp;AK$4,'2. หน้างบรายจ่าย'!$C:$K,7,0)))</f>
        <v>0</v>
      </c>
      <c r="AL90" s="250">
        <f>IF($C90="",0,IF(ISNA(VLOOKUP($A90&amp;"_"&amp;AL$4,'2. หน้างบรายจ่าย'!$C:$K,8,0)),0,VLOOKUP($A90&amp;"_"&amp;AL$4,'2. หน้างบรายจ่าย'!$C:$K,8,0)))</f>
        <v>0</v>
      </c>
      <c r="AM90" s="248">
        <f>IF($C90="",0,IF(ISNA(VLOOKUP($A90&amp;"_"&amp;AM$4,'2. หน้างบรายจ่าย'!$C:$K,9,0)),0,VLOOKUP($A90&amp;"_"&amp;AM$4,'2. หน้างบรายจ่าย'!$C:$K,9,0)))</f>
        <v>0</v>
      </c>
      <c r="AP90" s="171" t="str">
        <f t="shared" si="25"/>
        <v>No</v>
      </c>
    </row>
    <row r="91" spans="1:42" ht="25.5" hidden="1" customHeight="1">
      <c r="A91" s="210">
        <v>62</v>
      </c>
      <c r="B91" s="244" t="str">
        <f>IF(ISNA(VLOOKUP(A91,'2. หน้างบรายจ่าย'!$A:$K,4,0)),"",TEXT(VLOOKUP(A91,'2. หน้างบรายจ่าย'!$A:$K,4,0),"dd ดดด yy"))</f>
        <v/>
      </c>
      <c r="C91" s="245" t="str">
        <f>IF(ISNA(VLOOKUP(A91,'2. หน้างบรายจ่าย'!$A:$K,8,0)),"",VLOOKUP(A91,'2. หน้างบรายจ่าย'!$A:$K,8,0))</f>
        <v/>
      </c>
      <c r="D91" s="231">
        <f t="shared" si="22"/>
        <v>0</v>
      </c>
      <c r="E91" s="232">
        <f t="shared" si="23"/>
        <v>0</v>
      </c>
      <c r="F91" s="231">
        <f t="shared" si="24"/>
        <v>0</v>
      </c>
      <c r="G91" s="247">
        <f>IF($C91="",0,IF(ISNA(VLOOKUP($A91&amp;"_"&amp;G$4,'2. หน้างบรายจ่าย'!$C:$K,7,0)),0,VLOOKUP($A91&amp;"_"&amp;G$4,'2. หน้างบรายจ่าย'!$C:$K,7,0)))</f>
        <v>0</v>
      </c>
      <c r="H91" s="247">
        <f>IF($C91="",0,IF(ISNA(VLOOKUP($A91&amp;"_"&amp;H$4,'2. หน้างบรายจ่าย'!$C:$K,8,0)),0,VLOOKUP($A91&amp;"_"&amp;H$4,'2. หน้างบรายจ่าย'!$C:$K,8,0)))</f>
        <v>0</v>
      </c>
      <c r="I91" s="247">
        <f>IF($C91="",0,IF(ISNA(VLOOKUP($A91&amp;"_"&amp;I$4,'2. หน้างบรายจ่าย'!$C:$K,9,0)),0,VLOOKUP($A91&amp;"_"&amp;I$4,'2. หน้างบรายจ่าย'!$C:$K,9,0)))</f>
        <v>0</v>
      </c>
      <c r="J91" s="247">
        <f>IF($C91="",0,IF(ISNA(VLOOKUP($A91&amp;"_"&amp;J$4,'2. หน้างบรายจ่าย'!$C:$K,7,0)),0,VLOOKUP($A91&amp;"_"&amp;J$4,'2. หน้างบรายจ่าย'!$C:$K,7,0)))</f>
        <v>0</v>
      </c>
      <c r="K91" s="247">
        <f>IF($C91="",0,IF(ISNA(VLOOKUP($A91&amp;"_"&amp;K$4,'2. หน้างบรายจ่าย'!$C:$K,8,0)),0,VLOOKUP($A91&amp;"_"&amp;K$4,'2. หน้างบรายจ่าย'!$C:$K,8,0)))</f>
        <v>0</v>
      </c>
      <c r="L91" s="247">
        <f>IF($C91="",0,IF(ISNA(VLOOKUP($A91&amp;"_"&amp;L$4,'2. หน้างบรายจ่าย'!$C:$K,9,0)),0,VLOOKUP($A91&amp;"_"&amp;L$4,'2. หน้างบรายจ่าย'!$C:$K,9,0)))</f>
        <v>0</v>
      </c>
      <c r="M91" s="247">
        <f>IF($C91="",0,IF(ISNA(VLOOKUP($A91&amp;"_"&amp;M$4,'2. หน้างบรายจ่าย'!$C:$K,7,0)),0,VLOOKUP($A91&amp;"_"&amp;M$4,'2. หน้างบรายจ่าย'!$C:$K,7,0)))</f>
        <v>0</v>
      </c>
      <c r="N91" s="247">
        <f>IF($C91="",0,IF(ISNA(VLOOKUP($A91&amp;"_"&amp;N$4,'2. หน้างบรายจ่าย'!$C:$K,8,0)),0,VLOOKUP($A91&amp;"_"&amp;N$4,'2. หน้างบรายจ่าย'!$C:$K,8,0)))</f>
        <v>0</v>
      </c>
      <c r="O91" s="248">
        <f>IF($C91="",0,IF(ISNA(VLOOKUP($A91&amp;"_"&amp;O$4,'2. หน้างบรายจ่าย'!$C:$K,9,0)),0,VLOOKUP($A91&amp;"_"&amp;O$4,'2. หน้างบรายจ่าย'!$C:$K,9,0)))</f>
        <v>0</v>
      </c>
      <c r="P91" s="246">
        <f>IF($C91="",0,IF(ISNA(VLOOKUP($A91&amp;"_"&amp;P$4,'2. หน้างบรายจ่าย'!$C:$K,7,0)),0,VLOOKUP($A91&amp;"_"&amp;P$4,'2. หน้างบรายจ่าย'!$C:$K,7,0)))</f>
        <v>0</v>
      </c>
      <c r="Q91" s="249">
        <f>IF($C91="",0,IF(ISNA(VLOOKUP($A91&amp;"_"&amp;Q$4,'2. หน้างบรายจ่าย'!$C:$K,8,0)),0,VLOOKUP($A91&amp;"_"&amp;Q$4,'2. หน้างบรายจ่าย'!$C:$K,8,0)))</f>
        <v>0</v>
      </c>
      <c r="R91" s="247">
        <f>IF($C91="",0,IF(ISNA(VLOOKUP($A91&amp;"_"&amp;R$4,'2. หน้างบรายจ่าย'!$C:$K,9,0)),0,VLOOKUP($A91&amp;"_"&amp;R$4,'2. หน้างบรายจ่าย'!$C:$K,9,0)))</f>
        <v>0</v>
      </c>
      <c r="S91" s="247">
        <f>IF($C91="",0,IF(ISNA(VLOOKUP($A91&amp;"_"&amp;S$4,'2. หน้างบรายจ่าย'!$C:$K,7,0)),0,VLOOKUP($A91&amp;"_"&amp;S$4,'2. หน้างบรายจ่าย'!$C:$K,7,0)))</f>
        <v>0</v>
      </c>
      <c r="T91" s="247">
        <f>IF($C91="",0,IF(ISNA(VLOOKUP($A91&amp;"_"&amp;T$4,'2. หน้างบรายจ่าย'!$C:$K,8,0)),0,VLOOKUP($A91&amp;"_"&amp;T$4,'2. หน้างบรายจ่าย'!$C:$K,8,0)))</f>
        <v>0</v>
      </c>
      <c r="U91" s="247">
        <f>IF($C91="",0,IF(ISNA(VLOOKUP($A91&amp;"_"&amp;U$4,'2. หน้างบรายจ่าย'!$C:$K,9,0)),0,VLOOKUP($A91&amp;"_"&amp;U$4,'2. หน้างบรายจ่าย'!$C:$K,9,0)))</f>
        <v>0</v>
      </c>
      <c r="V91" s="247">
        <f>IF($C91="",0,IF(ISNA(VLOOKUP($A91&amp;"_"&amp;V$4,'2. หน้างบรายจ่าย'!$C:$K,7,0)),0,VLOOKUP($A91&amp;"_"&amp;V$4,'2. หน้างบรายจ่าย'!$C:$K,7,0)))</f>
        <v>0</v>
      </c>
      <c r="W91" s="247">
        <f>IF($C91="",0,IF(ISNA(VLOOKUP($A91&amp;"_"&amp;W$4,'2. หน้างบรายจ่าย'!$C:$K,8,0)),0,VLOOKUP($A91&amp;"_"&amp;W$4,'2. หน้างบรายจ่าย'!$C:$K,8,0)))</f>
        <v>0</v>
      </c>
      <c r="X91" s="247">
        <f>IF($C91="",0,IF(ISNA(VLOOKUP($A91&amp;"_"&amp;X$4,'2. หน้างบรายจ่าย'!$C:$K,9,0)),0,VLOOKUP($A91&amp;"_"&amp;X$4,'2. หน้างบรายจ่าย'!$C:$K,9,0)))</f>
        <v>0</v>
      </c>
      <c r="Y91" s="247">
        <f>IF($C91="",0,IF(ISNA(VLOOKUP($A91&amp;"_"&amp;Y$4,'2. หน้างบรายจ่าย'!$C:$K,7,0)),0,VLOOKUP($A91&amp;"_"&amp;Y$4,'2. หน้างบรายจ่าย'!$C:$K,7,0)))</f>
        <v>0</v>
      </c>
      <c r="Z91" s="247">
        <f>IF($C91="",0,IF(ISNA(VLOOKUP($A91&amp;"_"&amp;Z$4,'2. หน้างบรายจ่าย'!$C:$K,8,0)),0,VLOOKUP($A91&amp;"_"&amp;Z$4,'2. หน้างบรายจ่าย'!$C:$K,8,0)))</f>
        <v>0</v>
      </c>
      <c r="AA91" s="247">
        <f>IF($C91="",0,IF(ISNA(VLOOKUP($A91&amp;"_"&amp;AA$4,'2. หน้างบรายจ่าย'!$C:$K,9,0)),0,VLOOKUP($A91&amp;"_"&amp;AA$4,'2. หน้างบรายจ่าย'!$C:$K,9,0)))</f>
        <v>0</v>
      </c>
      <c r="AB91" s="247">
        <f>IF($C91="",0,IF(ISNA(VLOOKUP($A91&amp;"_"&amp;AB$4,'2. หน้างบรายจ่าย'!$C:$K,7,0)),0,VLOOKUP($A91&amp;"_"&amp;AB$4,'2. หน้างบรายจ่าย'!$C:$K,7,0)))</f>
        <v>0</v>
      </c>
      <c r="AC91" s="251">
        <f>IF($C91="",0,IF(ISNA(VLOOKUP($A91&amp;"_"&amp;AC$4,'2. หน้างบรายจ่าย'!$C:$K,8,0)),0,VLOOKUP($A91&amp;"_"&amp;AC$4,'2. หน้างบรายจ่าย'!$C:$K,8,0)))</f>
        <v>0</v>
      </c>
      <c r="AD91" s="248">
        <f>IF($C91="",0,IF(ISNA(VLOOKUP($A91&amp;"_"&amp;AD$4,'2. หน้างบรายจ่าย'!$C:$K,9,0)),0,VLOOKUP($A91&amp;"_"&amp;AD$4,'2. หน้างบรายจ่าย'!$C:$K,9,0)))</f>
        <v>0</v>
      </c>
      <c r="AE91" s="246">
        <f>IF($C91="",0,IF(ISNA(VLOOKUP($A91&amp;"_"&amp;AE$4,'2. หน้างบรายจ่าย'!$C:$K,7,0)),0,VLOOKUP($A91&amp;"_"&amp;AE$4,'2. หน้างบรายจ่าย'!$C:$K,7,0)))</f>
        <v>0</v>
      </c>
      <c r="AF91" s="250">
        <f>IF($C91="",0,IF(ISNA(VLOOKUP($A91&amp;"_"&amp;AF$4,'2. หน้างบรายจ่าย'!$C:$K,8,0)),0,VLOOKUP($A91&amp;"_"&amp;AF$4,'2. หน้างบรายจ่าย'!$C:$K,8,0)))</f>
        <v>0</v>
      </c>
      <c r="AG91" s="248">
        <f>IF($C91="",0,IF(ISNA(VLOOKUP($A91&amp;"_"&amp;AG$4,'2. หน้างบรายจ่าย'!$C:$K,9,0)),0,VLOOKUP($A91&amp;"_"&amp;AG$4,'2. หน้างบรายจ่าย'!$C:$K,9,0)))</f>
        <v>0</v>
      </c>
      <c r="AH91" s="249">
        <f>IF($C91="",0,IF(ISNA(VLOOKUP($A91&amp;"_"&amp;AH$4,'2. หน้างบรายจ่าย'!$C:$K,7,0)),0,VLOOKUP($A91&amp;"_"&amp;AH$4,'2. หน้างบรายจ่าย'!$C:$K,7,0)))</f>
        <v>0</v>
      </c>
      <c r="AI91" s="250">
        <f>IF($C91="",0,IF(ISNA(VLOOKUP($A91&amp;"_"&amp;AI$4,'2. หน้างบรายจ่าย'!$C:$K,8,0)),0,VLOOKUP($A91&amp;"_"&amp;AI$4,'2. หน้างบรายจ่าย'!$C:$K,8,0)))</f>
        <v>0</v>
      </c>
      <c r="AJ91" s="248">
        <f>IF($C91="",0,IF(ISNA(VLOOKUP($A91&amp;"_"&amp;AJ$4,'2. หน้างบรายจ่าย'!$C:$K,9,0)),0,VLOOKUP($A91&amp;"_"&amp;AJ$4,'2. หน้างบรายจ่าย'!$C:$K,9,0)))</f>
        <v>0</v>
      </c>
      <c r="AK91" s="249">
        <f>IF($C91="",0,IF(ISNA(VLOOKUP($A91&amp;"_"&amp;AK$4,'2. หน้างบรายจ่าย'!$C:$K,7,0)),0,VLOOKUP($A91&amp;"_"&amp;AK$4,'2. หน้างบรายจ่าย'!$C:$K,7,0)))</f>
        <v>0</v>
      </c>
      <c r="AL91" s="250">
        <f>IF($C91="",0,IF(ISNA(VLOOKUP($A91&amp;"_"&amp;AL$4,'2. หน้างบรายจ่าย'!$C:$K,8,0)),0,VLOOKUP($A91&amp;"_"&amp;AL$4,'2. หน้างบรายจ่าย'!$C:$K,8,0)))</f>
        <v>0</v>
      </c>
      <c r="AM91" s="248">
        <f>IF($C91="",0,IF(ISNA(VLOOKUP($A91&amp;"_"&amp;AM$4,'2. หน้างบรายจ่าย'!$C:$K,9,0)),0,VLOOKUP($A91&amp;"_"&amp;AM$4,'2. หน้างบรายจ่าย'!$C:$K,9,0)))</f>
        <v>0</v>
      </c>
      <c r="AP91" s="171" t="str">
        <f t="shared" si="25"/>
        <v>No</v>
      </c>
    </row>
    <row r="92" spans="1:42" ht="25.5" hidden="1" customHeight="1">
      <c r="A92" s="210">
        <v>63</v>
      </c>
      <c r="B92" s="244" t="str">
        <f>IF(ISNA(VLOOKUP(A92,'2. หน้างบรายจ่าย'!$A:$K,4,0)),"",TEXT(VLOOKUP(A92,'2. หน้างบรายจ่าย'!$A:$K,4,0),"dd ดดด yy"))</f>
        <v/>
      </c>
      <c r="C92" s="245" t="str">
        <f>IF(ISNA(VLOOKUP(A92,'2. หน้างบรายจ่าย'!$A:$K,8,0)),"",VLOOKUP(A92,'2. หน้างบรายจ่าย'!$A:$K,8,0))</f>
        <v/>
      </c>
      <c r="D92" s="231">
        <f t="shared" si="22"/>
        <v>0</v>
      </c>
      <c r="E92" s="232">
        <f t="shared" si="23"/>
        <v>0</v>
      </c>
      <c r="F92" s="231">
        <f t="shared" si="24"/>
        <v>0</v>
      </c>
      <c r="G92" s="247">
        <f>IF($C92="",0,IF(ISNA(VLOOKUP($A92&amp;"_"&amp;G$4,'2. หน้างบรายจ่าย'!$C:$K,7,0)),0,VLOOKUP($A92&amp;"_"&amp;G$4,'2. หน้างบรายจ่าย'!$C:$K,7,0)))</f>
        <v>0</v>
      </c>
      <c r="H92" s="247">
        <f>IF($C92="",0,IF(ISNA(VLOOKUP($A92&amp;"_"&amp;H$4,'2. หน้างบรายจ่าย'!$C:$K,8,0)),0,VLOOKUP($A92&amp;"_"&amp;H$4,'2. หน้างบรายจ่าย'!$C:$K,8,0)))</f>
        <v>0</v>
      </c>
      <c r="I92" s="247">
        <f>IF($C92="",0,IF(ISNA(VLOOKUP($A92&amp;"_"&amp;I$4,'2. หน้างบรายจ่าย'!$C:$K,9,0)),0,VLOOKUP($A92&amp;"_"&amp;I$4,'2. หน้างบรายจ่าย'!$C:$K,9,0)))</f>
        <v>0</v>
      </c>
      <c r="J92" s="247">
        <f>IF($C92="",0,IF(ISNA(VLOOKUP($A92&amp;"_"&amp;J$4,'2. หน้างบรายจ่าย'!$C:$K,7,0)),0,VLOOKUP($A92&amp;"_"&amp;J$4,'2. หน้างบรายจ่าย'!$C:$K,7,0)))</f>
        <v>0</v>
      </c>
      <c r="K92" s="247">
        <f>IF($C92="",0,IF(ISNA(VLOOKUP($A92&amp;"_"&amp;K$4,'2. หน้างบรายจ่าย'!$C:$K,8,0)),0,VLOOKUP($A92&amp;"_"&amp;K$4,'2. หน้างบรายจ่าย'!$C:$K,8,0)))</f>
        <v>0</v>
      </c>
      <c r="L92" s="247">
        <f>IF($C92="",0,IF(ISNA(VLOOKUP($A92&amp;"_"&amp;L$4,'2. หน้างบรายจ่าย'!$C:$K,9,0)),0,VLOOKUP($A92&amp;"_"&amp;L$4,'2. หน้างบรายจ่าย'!$C:$K,9,0)))</f>
        <v>0</v>
      </c>
      <c r="M92" s="247">
        <f>IF($C92="",0,IF(ISNA(VLOOKUP($A92&amp;"_"&amp;M$4,'2. หน้างบรายจ่าย'!$C:$K,7,0)),0,VLOOKUP($A92&amp;"_"&amp;M$4,'2. หน้างบรายจ่าย'!$C:$K,7,0)))</f>
        <v>0</v>
      </c>
      <c r="N92" s="247">
        <f>IF($C92="",0,IF(ISNA(VLOOKUP($A92&amp;"_"&amp;N$4,'2. หน้างบรายจ่าย'!$C:$K,8,0)),0,VLOOKUP($A92&amp;"_"&amp;N$4,'2. หน้างบรายจ่าย'!$C:$K,8,0)))</f>
        <v>0</v>
      </c>
      <c r="O92" s="248">
        <f>IF($C92="",0,IF(ISNA(VLOOKUP($A92&amp;"_"&amp;O$4,'2. หน้างบรายจ่าย'!$C:$K,9,0)),0,VLOOKUP($A92&amp;"_"&amp;O$4,'2. หน้างบรายจ่าย'!$C:$K,9,0)))</f>
        <v>0</v>
      </c>
      <c r="P92" s="246">
        <f>IF($C92="",0,IF(ISNA(VLOOKUP($A92&amp;"_"&amp;P$4,'2. หน้างบรายจ่าย'!$C:$K,7,0)),0,VLOOKUP($A92&amp;"_"&amp;P$4,'2. หน้างบรายจ่าย'!$C:$K,7,0)))</f>
        <v>0</v>
      </c>
      <c r="Q92" s="249">
        <f>IF($C92="",0,IF(ISNA(VLOOKUP($A92&amp;"_"&amp;Q$4,'2. หน้างบรายจ่าย'!$C:$K,8,0)),0,VLOOKUP($A92&amp;"_"&amp;Q$4,'2. หน้างบรายจ่าย'!$C:$K,8,0)))</f>
        <v>0</v>
      </c>
      <c r="R92" s="247">
        <f>IF($C92="",0,IF(ISNA(VLOOKUP($A92&amp;"_"&amp;R$4,'2. หน้างบรายจ่าย'!$C:$K,9,0)),0,VLOOKUP($A92&amp;"_"&amp;R$4,'2. หน้างบรายจ่าย'!$C:$K,9,0)))</f>
        <v>0</v>
      </c>
      <c r="S92" s="247">
        <f>IF($C92="",0,IF(ISNA(VLOOKUP($A92&amp;"_"&amp;S$4,'2. หน้างบรายจ่าย'!$C:$K,7,0)),0,VLOOKUP($A92&amp;"_"&amp;S$4,'2. หน้างบรายจ่าย'!$C:$K,7,0)))</f>
        <v>0</v>
      </c>
      <c r="T92" s="247">
        <f>IF($C92="",0,IF(ISNA(VLOOKUP($A92&amp;"_"&amp;T$4,'2. หน้างบรายจ่าย'!$C:$K,8,0)),0,VLOOKUP($A92&amp;"_"&amp;T$4,'2. หน้างบรายจ่าย'!$C:$K,8,0)))</f>
        <v>0</v>
      </c>
      <c r="U92" s="247">
        <f>IF($C92="",0,IF(ISNA(VLOOKUP($A92&amp;"_"&amp;U$4,'2. หน้างบรายจ่าย'!$C:$K,9,0)),0,VLOOKUP($A92&amp;"_"&amp;U$4,'2. หน้างบรายจ่าย'!$C:$K,9,0)))</f>
        <v>0</v>
      </c>
      <c r="V92" s="247">
        <f>IF($C92="",0,IF(ISNA(VLOOKUP($A92&amp;"_"&amp;V$4,'2. หน้างบรายจ่าย'!$C:$K,7,0)),0,VLOOKUP($A92&amp;"_"&amp;V$4,'2. หน้างบรายจ่าย'!$C:$K,7,0)))</f>
        <v>0</v>
      </c>
      <c r="W92" s="247">
        <f>IF($C92="",0,IF(ISNA(VLOOKUP($A92&amp;"_"&amp;W$4,'2. หน้างบรายจ่าย'!$C:$K,8,0)),0,VLOOKUP($A92&amp;"_"&amp;W$4,'2. หน้างบรายจ่าย'!$C:$K,8,0)))</f>
        <v>0</v>
      </c>
      <c r="X92" s="247">
        <f>IF($C92="",0,IF(ISNA(VLOOKUP($A92&amp;"_"&amp;X$4,'2. หน้างบรายจ่าย'!$C:$K,9,0)),0,VLOOKUP($A92&amp;"_"&amp;X$4,'2. หน้างบรายจ่าย'!$C:$K,9,0)))</f>
        <v>0</v>
      </c>
      <c r="Y92" s="247">
        <f>IF($C92="",0,IF(ISNA(VLOOKUP($A92&amp;"_"&amp;Y$4,'2. หน้างบรายจ่าย'!$C:$K,7,0)),0,VLOOKUP($A92&amp;"_"&amp;Y$4,'2. หน้างบรายจ่าย'!$C:$K,7,0)))</f>
        <v>0</v>
      </c>
      <c r="Z92" s="247">
        <f>IF($C92="",0,IF(ISNA(VLOOKUP($A92&amp;"_"&amp;Z$4,'2. หน้างบรายจ่าย'!$C:$K,8,0)),0,VLOOKUP($A92&amp;"_"&amp;Z$4,'2. หน้างบรายจ่าย'!$C:$K,8,0)))</f>
        <v>0</v>
      </c>
      <c r="AA92" s="247">
        <f>IF($C92="",0,IF(ISNA(VLOOKUP($A92&amp;"_"&amp;AA$4,'2. หน้างบรายจ่าย'!$C:$K,9,0)),0,VLOOKUP($A92&amp;"_"&amp;AA$4,'2. หน้างบรายจ่าย'!$C:$K,9,0)))</f>
        <v>0</v>
      </c>
      <c r="AB92" s="247">
        <f>IF($C92="",0,IF(ISNA(VLOOKUP($A92&amp;"_"&amp;AB$4,'2. หน้างบรายจ่าย'!$C:$K,7,0)),0,VLOOKUP($A92&amp;"_"&amp;AB$4,'2. หน้างบรายจ่าย'!$C:$K,7,0)))</f>
        <v>0</v>
      </c>
      <c r="AC92" s="251">
        <f>IF($C92="",0,IF(ISNA(VLOOKUP($A92&amp;"_"&amp;AC$4,'2. หน้างบรายจ่าย'!$C:$K,8,0)),0,VLOOKUP($A92&amp;"_"&amp;AC$4,'2. หน้างบรายจ่าย'!$C:$K,8,0)))</f>
        <v>0</v>
      </c>
      <c r="AD92" s="248">
        <f>IF($C92="",0,IF(ISNA(VLOOKUP($A92&amp;"_"&amp;AD$4,'2. หน้างบรายจ่าย'!$C:$K,9,0)),0,VLOOKUP($A92&amp;"_"&amp;AD$4,'2. หน้างบรายจ่าย'!$C:$K,9,0)))</f>
        <v>0</v>
      </c>
      <c r="AE92" s="246">
        <f>IF($C92="",0,IF(ISNA(VLOOKUP($A92&amp;"_"&amp;AE$4,'2. หน้างบรายจ่าย'!$C:$K,7,0)),0,VLOOKUP($A92&amp;"_"&amp;AE$4,'2. หน้างบรายจ่าย'!$C:$K,7,0)))</f>
        <v>0</v>
      </c>
      <c r="AF92" s="250">
        <f>IF($C92="",0,IF(ISNA(VLOOKUP($A92&amp;"_"&amp;AF$4,'2. หน้างบรายจ่าย'!$C:$K,8,0)),0,VLOOKUP($A92&amp;"_"&amp;AF$4,'2. หน้างบรายจ่าย'!$C:$K,8,0)))</f>
        <v>0</v>
      </c>
      <c r="AG92" s="248">
        <f>IF($C92="",0,IF(ISNA(VLOOKUP($A92&amp;"_"&amp;AG$4,'2. หน้างบรายจ่าย'!$C:$K,9,0)),0,VLOOKUP($A92&amp;"_"&amp;AG$4,'2. หน้างบรายจ่าย'!$C:$K,9,0)))</f>
        <v>0</v>
      </c>
      <c r="AH92" s="249">
        <f>IF($C92="",0,IF(ISNA(VLOOKUP($A92&amp;"_"&amp;AH$4,'2. หน้างบรายจ่าย'!$C:$K,7,0)),0,VLOOKUP($A92&amp;"_"&amp;AH$4,'2. หน้างบรายจ่าย'!$C:$K,7,0)))</f>
        <v>0</v>
      </c>
      <c r="AI92" s="250">
        <f>IF($C92="",0,IF(ISNA(VLOOKUP($A92&amp;"_"&amp;AI$4,'2. หน้างบรายจ่าย'!$C:$K,8,0)),0,VLOOKUP($A92&amp;"_"&amp;AI$4,'2. หน้างบรายจ่าย'!$C:$K,8,0)))</f>
        <v>0</v>
      </c>
      <c r="AJ92" s="248">
        <f>IF($C92="",0,IF(ISNA(VLOOKUP($A92&amp;"_"&amp;AJ$4,'2. หน้างบรายจ่าย'!$C:$K,9,0)),0,VLOOKUP($A92&amp;"_"&amp;AJ$4,'2. หน้างบรายจ่าย'!$C:$K,9,0)))</f>
        <v>0</v>
      </c>
      <c r="AK92" s="249">
        <f>IF($C92="",0,IF(ISNA(VLOOKUP($A92&amp;"_"&amp;AK$4,'2. หน้างบรายจ่าย'!$C:$K,7,0)),0,VLOOKUP($A92&amp;"_"&amp;AK$4,'2. หน้างบรายจ่าย'!$C:$K,7,0)))</f>
        <v>0</v>
      </c>
      <c r="AL92" s="250">
        <f>IF($C92="",0,IF(ISNA(VLOOKUP($A92&amp;"_"&amp;AL$4,'2. หน้างบรายจ่าย'!$C:$K,8,0)),0,VLOOKUP($A92&amp;"_"&amp;AL$4,'2. หน้างบรายจ่าย'!$C:$K,8,0)))</f>
        <v>0</v>
      </c>
      <c r="AM92" s="248">
        <f>IF($C92="",0,IF(ISNA(VLOOKUP($A92&amp;"_"&amp;AM$4,'2. หน้างบรายจ่าย'!$C:$K,9,0)),0,VLOOKUP($A92&amp;"_"&amp;AM$4,'2. หน้างบรายจ่าย'!$C:$K,9,0)))</f>
        <v>0</v>
      </c>
      <c r="AP92" s="171" t="str">
        <f t="shared" si="25"/>
        <v>No</v>
      </c>
    </row>
    <row r="93" spans="1:42" ht="25.5" hidden="1" customHeight="1">
      <c r="A93" s="210">
        <v>64</v>
      </c>
      <c r="B93" s="244" t="str">
        <f>IF(ISNA(VLOOKUP(A93,'2. หน้างบรายจ่าย'!$A:$K,4,0)),"",TEXT(VLOOKUP(A93,'2. หน้างบรายจ่าย'!$A:$K,4,0),"dd ดดด yy"))</f>
        <v/>
      </c>
      <c r="C93" s="245" t="str">
        <f>IF(ISNA(VLOOKUP(A93,'2. หน้างบรายจ่าย'!$A:$K,8,0)),"",VLOOKUP(A93,'2. หน้างบรายจ่าย'!$A:$K,8,0))</f>
        <v/>
      </c>
      <c r="D93" s="231">
        <f t="shared" si="22"/>
        <v>0</v>
      </c>
      <c r="E93" s="232">
        <f t="shared" si="23"/>
        <v>0</v>
      </c>
      <c r="F93" s="231">
        <f t="shared" si="24"/>
        <v>0</v>
      </c>
      <c r="G93" s="247">
        <f>IF($C93="",0,IF(ISNA(VLOOKUP($A93&amp;"_"&amp;G$4,'2. หน้างบรายจ่าย'!$C:$K,7,0)),0,VLOOKUP($A93&amp;"_"&amp;G$4,'2. หน้างบรายจ่าย'!$C:$K,7,0)))</f>
        <v>0</v>
      </c>
      <c r="H93" s="247">
        <f>IF($C93="",0,IF(ISNA(VLOOKUP($A93&amp;"_"&amp;H$4,'2. หน้างบรายจ่าย'!$C:$K,8,0)),0,VLOOKUP($A93&amp;"_"&amp;H$4,'2. หน้างบรายจ่าย'!$C:$K,8,0)))</f>
        <v>0</v>
      </c>
      <c r="I93" s="247">
        <f>IF($C93="",0,IF(ISNA(VLOOKUP($A93&amp;"_"&amp;I$4,'2. หน้างบรายจ่าย'!$C:$K,9,0)),0,VLOOKUP($A93&amp;"_"&amp;I$4,'2. หน้างบรายจ่าย'!$C:$K,9,0)))</f>
        <v>0</v>
      </c>
      <c r="J93" s="247">
        <f>IF($C93="",0,IF(ISNA(VLOOKUP($A93&amp;"_"&amp;J$4,'2. หน้างบรายจ่าย'!$C:$K,7,0)),0,VLOOKUP($A93&amp;"_"&amp;J$4,'2. หน้างบรายจ่าย'!$C:$K,7,0)))</f>
        <v>0</v>
      </c>
      <c r="K93" s="247">
        <f>IF($C93="",0,IF(ISNA(VLOOKUP($A93&amp;"_"&amp;K$4,'2. หน้างบรายจ่าย'!$C:$K,8,0)),0,VLOOKUP($A93&amp;"_"&amp;K$4,'2. หน้างบรายจ่าย'!$C:$K,8,0)))</f>
        <v>0</v>
      </c>
      <c r="L93" s="247">
        <f>IF($C93="",0,IF(ISNA(VLOOKUP($A93&amp;"_"&amp;L$4,'2. หน้างบรายจ่าย'!$C:$K,9,0)),0,VLOOKUP($A93&amp;"_"&amp;L$4,'2. หน้างบรายจ่าย'!$C:$K,9,0)))</f>
        <v>0</v>
      </c>
      <c r="M93" s="247">
        <f>IF($C93="",0,IF(ISNA(VLOOKUP($A93&amp;"_"&amp;M$4,'2. หน้างบรายจ่าย'!$C:$K,7,0)),0,VLOOKUP($A93&amp;"_"&amp;M$4,'2. หน้างบรายจ่าย'!$C:$K,7,0)))</f>
        <v>0</v>
      </c>
      <c r="N93" s="247">
        <f>IF($C93="",0,IF(ISNA(VLOOKUP($A93&amp;"_"&amp;N$4,'2. หน้างบรายจ่าย'!$C:$K,8,0)),0,VLOOKUP($A93&amp;"_"&amp;N$4,'2. หน้างบรายจ่าย'!$C:$K,8,0)))</f>
        <v>0</v>
      </c>
      <c r="O93" s="248">
        <f>IF($C93="",0,IF(ISNA(VLOOKUP($A93&amp;"_"&amp;O$4,'2. หน้างบรายจ่าย'!$C:$K,9,0)),0,VLOOKUP($A93&amp;"_"&amp;O$4,'2. หน้างบรายจ่าย'!$C:$K,9,0)))</f>
        <v>0</v>
      </c>
      <c r="P93" s="246">
        <f>IF($C93="",0,IF(ISNA(VLOOKUP($A93&amp;"_"&amp;P$4,'2. หน้างบรายจ่าย'!$C:$K,7,0)),0,VLOOKUP($A93&amp;"_"&amp;P$4,'2. หน้างบรายจ่าย'!$C:$K,7,0)))</f>
        <v>0</v>
      </c>
      <c r="Q93" s="249">
        <f>IF($C93="",0,IF(ISNA(VLOOKUP($A93&amp;"_"&amp;Q$4,'2. หน้างบรายจ่าย'!$C:$K,8,0)),0,VLOOKUP($A93&amp;"_"&amp;Q$4,'2. หน้างบรายจ่าย'!$C:$K,8,0)))</f>
        <v>0</v>
      </c>
      <c r="R93" s="247">
        <f>IF($C93="",0,IF(ISNA(VLOOKUP($A93&amp;"_"&amp;R$4,'2. หน้างบรายจ่าย'!$C:$K,9,0)),0,VLOOKUP($A93&amp;"_"&amp;R$4,'2. หน้างบรายจ่าย'!$C:$K,9,0)))</f>
        <v>0</v>
      </c>
      <c r="S93" s="247">
        <f>IF($C93="",0,IF(ISNA(VLOOKUP($A93&amp;"_"&amp;S$4,'2. หน้างบรายจ่าย'!$C:$K,7,0)),0,VLOOKUP($A93&amp;"_"&amp;S$4,'2. หน้างบรายจ่าย'!$C:$K,7,0)))</f>
        <v>0</v>
      </c>
      <c r="T93" s="247">
        <f>IF($C93="",0,IF(ISNA(VLOOKUP($A93&amp;"_"&amp;T$4,'2. หน้างบรายจ่าย'!$C:$K,8,0)),0,VLOOKUP($A93&amp;"_"&amp;T$4,'2. หน้างบรายจ่าย'!$C:$K,8,0)))</f>
        <v>0</v>
      </c>
      <c r="U93" s="247">
        <f>IF($C93="",0,IF(ISNA(VLOOKUP($A93&amp;"_"&amp;U$4,'2. หน้างบรายจ่าย'!$C:$K,9,0)),0,VLOOKUP($A93&amp;"_"&amp;U$4,'2. หน้างบรายจ่าย'!$C:$K,9,0)))</f>
        <v>0</v>
      </c>
      <c r="V93" s="247">
        <f>IF($C93="",0,IF(ISNA(VLOOKUP($A93&amp;"_"&amp;V$4,'2. หน้างบรายจ่าย'!$C:$K,7,0)),0,VLOOKUP($A93&amp;"_"&amp;V$4,'2. หน้างบรายจ่าย'!$C:$K,7,0)))</f>
        <v>0</v>
      </c>
      <c r="W93" s="247">
        <f>IF($C93="",0,IF(ISNA(VLOOKUP($A93&amp;"_"&amp;W$4,'2. หน้างบรายจ่าย'!$C:$K,8,0)),0,VLOOKUP($A93&amp;"_"&amp;W$4,'2. หน้างบรายจ่าย'!$C:$K,8,0)))</f>
        <v>0</v>
      </c>
      <c r="X93" s="247">
        <f>IF($C93="",0,IF(ISNA(VLOOKUP($A93&amp;"_"&amp;X$4,'2. หน้างบรายจ่าย'!$C:$K,9,0)),0,VLOOKUP($A93&amp;"_"&amp;X$4,'2. หน้างบรายจ่าย'!$C:$K,9,0)))</f>
        <v>0</v>
      </c>
      <c r="Y93" s="247">
        <f>IF($C93="",0,IF(ISNA(VLOOKUP($A93&amp;"_"&amp;Y$4,'2. หน้างบรายจ่าย'!$C:$K,7,0)),0,VLOOKUP($A93&amp;"_"&amp;Y$4,'2. หน้างบรายจ่าย'!$C:$K,7,0)))</f>
        <v>0</v>
      </c>
      <c r="Z93" s="247">
        <f>IF($C93="",0,IF(ISNA(VLOOKUP($A93&amp;"_"&amp;Z$4,'2. หน้างบรายจ่าย'!$C:$K,8,0)),0,VLOOKUP($A93&amp;"_"&amp;Z$4,'2. หน้างบรายจ่าย'!$C:$K,8,0)))</f>
        <v>0</v>
      </c>
      <c r="AA93" s="247">
        <f>IF($C93="",0,IF(ISNA(VLOOKUP($A93&amp;"_"&amp;AA$4,'2. หน้างบรายจ่าย'!$C:$K,9,0)),0,VLOOKUP($A93&amp;"_"&amp;AA$4,'2. หน้างบรายจ่าย'!$C:$K,9,0)))</f>
        <v>0</v>
      </c>
      <c r="AB93" s="247">
        <f>IF($C93="",0,IF(ISNA(VLOOKUP($A93&amp;"_"&amp;AB$4,'2. หน้างบรายจ่าย'!$C:$K,7,0)),0,VLOOKUP($A93&amp;"_"&amp;AB$4,'2. หน้างบรายจ่าย'!$C:$K,7,0)))</f>
        <v>0</v>
      </c>
      <c r="AC93" s="251">
        <f>IF($C93="",0,IF(ISNA(VLOOKUP($A93&amp;"_"&amp;AC$4,'2. หน้างบรายจ่าย'!$C:$K,8,0)),0,VLOOKUP($A93&amp;"_"&amp;AC$4,'2. หน้างบรายจ่าย'!$C:$K,8,0)))</f>
        <v>0</v>
      </c>
      <c r="AD93" s="248">
        <f>IF($C93="",0,IF(ISNA(VLOOKUP($A93&amp;"_"&amp;AD$4,'2. หน้างบรายจ่าย'!$C:$K,9,0)),0,VLOOKUP($A93&amp;"_"&amp;AD$4,'2. หน้างบรายจ่าย'!$C:$K,9,0)))</f>
        <v>0</v>
      </c>
      <c r="AE93" s="246">
        <f>IF($C93="",0,IF(ISNA(VLOOKUP($A93&amp;"_"&amp;AE$4,'2. หน้างบรายจ่าย'!$C:$K,7,0)),0,VLOOKUP($A93&amp;"_"&amp;AE$4,'2. หน้างบรายจ่าย'!$C:$K,7,0)))</f>
        <v>0</v>
      </c>
      <c r="AF93" s="250">
        <f>IF($C93="",0,IF(ISNA(VLOOKUP($A93&amp;"_"&amp;AF$4,'2. หน้างบรายจ่าย'!$C:$K,8,0)),0,VLOOKUP($A93&amp;"_"&amp;AF$4,'2. หน้างบรายจ่าย'!$C:$K,8,0)))</f>
        <v>0</v>
      </c>
      <c r="AG93" s="248">
        <f>IF($C93="",0,IF(ISNA(VLOOKUP($A93&amp;"_"&amp;AG$4,'2. หน้างบรายจ่าย'!$C:$K,9,0)),0,VLOOKUP($A93&amp;"_"&amp;AG$4,'2. หน้างบรายจ่าย'!$C:$K,9,0)))</f>
        <v>0</v>
      </c>
      <c r="AH93" s="249">
        <f>IF($C93="",0,IF(ISNA(VLOOKUP($A93&amp;"_"&amp;AH$4,'2. หน้างบรายจ่าย'!$C:$K,7,0)),0,VLOOKUP($A93&amp;"_"&amp;AH$4,'2. หน้างบรายจ่าย'!$C:$K,7,0)))</f>
        <v>0</v>
      </c>
      <c r="AI93" s="250">
        <f>IF($C93="",0,IF(ISNA(VLOOKUP($A93&amp;"_"&amp;AI$4,'2. หน้างบรายจ่าย'!$C:$K,8,0)),0,VLOOKUP($A93&amp;"_"&amp;AI$4,'2. หน้างบรายจ่าย'!$C:$K,8,0)))</f>
        <v>0</v>
      </c>
      <c r="AJ93" s="248">
        <f>IF($C93="",0,IF(ISNA(VLOOKUP($A93&amp;"_"&amp;AJ$4,'2. หน้างบรายจ่าย'!$C:$K,9,0)),0,VLOOKUP($A93&amp;"_"&amp;AJ$4,'2. หน้างบรายจ่าย'!$C:$K,9,0)))</f>
        <v>0</v>
      </c>
      <c r="AK93" s="249">
        <f>IF($C93="",0,IF(ISNA(VLOOKUP($A93&amp;"_"&amp;AK$4,'2. หน้างบรายจ่าย'!$C:$K,7,0)),0,VLOOKUP($A93&amp;"_"&amp;AK$4,'2. หน้างบรายจ่าย'!$C:$K,7,0)))</f>
        <v>0</v>
      </c>
      <c r="AL93" s="250">
        <f>IF($C93="",0,IF(ISNA(VLOOKUP($A93&amp;"_"&amp;AL$4,'2. หน้างบรายจ่าย'!$C:$K,8,0)),0,VLOOKUP($A93&amp;"_"&amp;AL$4,'2. หน้างบรายจ่าย'!$C:$K,8,0)))</f>
        <v>0</v>
      </c>
      <c r="AM93" s="248">
        <f>IF($C93="",0,IF(ISNA(VLOOKUP($A93&amp;"_"&amp;AM$4,'2. หน้างบรายจ่าย'!$C:$K,9,0)),0,VLOOKUP($A93&amp;"_"&amp;AM$4,'2. หน้างบรายจ่าย'!$C:$K,9,0)))</f>
        <v>0</v>
      </c>
      <c r="AP93" s="171" t="str">
        <f t="shared" ref="AP93:AP131" si="30">IF(AO93&lt;&gt;"",AO93,IF(C93&lt;&gt;"","Yes","No"))</f>
        <v>No</v>
      </c>
    </row>
    <row r="94" spans="1:42" ht="25.5" hidden="1" customHeight="1">
      <c r="A94" s="210">
        <v>65</v>
      </c>
      <c r="B94" s="244" t="str">
        <f>IF(ISNA(VLOOKUP(A94,'2. หน้างบรายจ่าย'!$A:$K,4,0)),"",TEXT(VLOOKUP(A94,'2. หน้างบรายจ่าย'!$A:$K,4,0),"dd ดดด yy"))</f>
        <v/>
      </c>
      <c r="C94" s="245" t="str">
        <f>IF(ISNA(VLOOKUP(A94,'2. หน้างบรายจ่าย'!$A:$K,8,0)),"",VLOOKUP(A94,'2. หน้างบรายจ่าย'!$A:$K,8,0))</f>
        <v/>
      </c>
      <c r="D94" s="231">
        <f t="shared" si="22"/>
        <v>0</v>
      </c>
      <c r="E94" s="232">
        <f t="shared" si="23"/>
        <v>0</v>
      </c>
      <c r="F94" s="231">
        <f t="shared" si="24"/>
        <v>0</v>
      </c>
      <c r="G94" s="247">
        <f>IF($C94="",0,IF(ISNA(VLOOKUP($A94&amp;"_"&amp;G$4,'2. หน้างบรายจ่าย'!$C:$K,7,0)),0,VLOOKUP($A94&amp;"_"&amp;G$4,'2. หน้างบรายจ่าย'!$C:$K,7,0)))</f>
        <v>0</v>
      </c>
      <c r="H94" s="247">
        <f>IF($C94="",0,IF(ISNA(VLOOKUP($A94&amp;"_"&amp;H$4,'2. หน้างบรายจ่าย'!$C:$K,8,0)),0,VLOOKUP($A94&amp;"_"&amp;H$4,'2. หน้างบรายจ่าย'!$C:$K,8,0)))</f>
        <v>0</v>
      </c>
      <c r="I94" s="247">
        <f>IF($C94="",0,IF(ISNA(VLOOKUP($A94&amp;"_"&amp;I$4,'2. หน้างบรายจ่าย'!$C:$K,9,0)),0,VLOOKUP($A94&amp;"_"&amp;I$4,'2. หน้างบรายจ่าย'!$C:$K,9,0)))</f>
        <v>0</v>
      </c>
      <c r="J94" s="247">
        <f>IF($C94="",0,IF(ISNA(VLOOKUP($A94&amp;"_"&amp;J$4,'2. หน้างบรายจ่าย'!$C:$K,7,0)),0,VLOOKUP($A94&amp;"_"&amp;J$4,'2. หน้างบรายจ่าย'!$C:$K,7,0)))</f>
        <v>0</v>
      </c>
      <c r="K94" s="247">
        <f>IF($C94="",0,IF(ISNA(VLOOKUP($A94&amp;"_"&amp;K$4,'2. หน้างบรายจ่าย'!$C:$K,8,0)),0,VLOOKUP($A94&amp;"_"&amp;K$4,'2. หน้างบรายจ่าย'!$C:$K,8,0)))</f>
        <v>0</v>
      </c>
      <c r="L94" s="247">
        <f>IF($C94="",0,IF(ISNA(VLOOKUP($A94&amp;"_"&amp;L$4,'2. หน้างบรายจ่าย'!$C:$K,9,0)),0,VLOOKUP($A94&amp;"_"&amp;L$4,'2. หน้างบรายจ่าย'!$C:$K,9,0)))</f>
        <v>0</v>
      </c>
      <c r="M94" s="247">
        <f>IF($C94="",0,IF(ISNA(VLOOKUP($A94&amp;"_"&amp;M$4,'2. หน้างบรายจ่าย'!$C:$K,7,0)),0,VLOOKUP($A94&amp;"_"&amp;M$4,'2. หน้างบรายจ่าย'!$C:$K,7,0)))</f>
        <v>0</v>
      </c>
      <c r="N94" s="247">
        <f>IF($C94="",0,IF(ISNA(VLOOKUP($A94&amp;"_"&amp;N$4,'2. หน้างบรายจ่าย'!$C:$K,8,0)),0,VLOOKUP($A94&amp;"_"&amp;N$4,'2. หน้างบรายจ่าย'!$C:$K,8,0)))</f>
        <v>0</v>
      </c>
      <c r="O94" s="248">
        <f>IF($C94="",0,IF(ISNA(VLOOKUP($A94&amp;"_"&amp;O$4,'2. หน้างบรายจ่าย'!$C:$K,9,0)),0,VLOOKUP($A94&amp;"_"&amp;O$4,'2. หน้างบรายจ่าย'!$C:$K,9,0)))</f>
        <v>0</v>
      </c>
      <c r="P94" s="246">
        <f>IF($C94="",0,IF(ISNA(VLOOKUP($A94&amp;"_"&amp;P$4,'2. หน้างบรายจ่าย'!$C:$K,7,0)),0,VLOOKUP($A94&amp;"_"&amp;P$4,'2. หน้างบรายจ่าย'!$C:$K,7,0)))</f>
        <v>0</v>
      </c>
      <c r="Q94" s="249">
        <f>IF($C94="",0,IF(ISNA(VLOOKUP($A94&amp;"_"&amp;Q$4,'2. หน้างบรายจ่าย'!$C:$K,8,0)),0,VLOOKUP($A94&amp;"_"&amp;Q$4,'2. หน้างบรายจ่าย'!$C:$K,8,0)))</f>
        <v>0</v>
      </c>
      <c r="R94" s="247">
        <f>IF($C94="",0,IF(ISNA(VLOOKUP($A94&amp;"_"&amp;R$4,'2. หน้างบรายจ่าย'!$C:$K,9,0)),0,VLOOKUP($A94&amp;"_"&amp;R$4,'2. หน้างบรายจ่าย'!$C:$K,9,0)))</f>
        <v>0</v>
      </c>
      <c r="S94" s="247">
        <f>IF($C94="",0,IF(ISNA(VLOOKUP($A94&amp;"_"&amp;S$4,'2. หน้างบรายจ่าย'!$C:$K,7,0)),0,VLOOKUP($A94&amp;"_"&amp;S$4,'2. หน้างบรายจ่าย'!$C:$K,7,0)))</f>
        <v>0</v>
      </c>
      <c r="T94" s="247">
        <f>IF($C94="",0,IF(ISNA(VLOOKUP($A94&amp;"_"&amp;T$4,'2. หน้างบรายจ่าย'!$C:$K,8,0)),0,VLOOKUP($A94&amp;"_"&amp;T$4,'2. หน้างบรายจ่าย'!$C:$K,8,0)))</f>
        <v>0</v>
      </c>
      <c r="U94" s="247">
        <f>IF($C94="",0,IF(ISNA(VLOOKUP($A94&amp;"_"&amp;U$4,'2. หน้างบรายจ่าย'!$C:$K,9,0)),0,VLOOKUP($A94&amp;"_"&amp;U$4,'2. หน้างบรายจ่าย'!$C:$K,9,0)))</f>
        <v>0</v>
      </c>
      <c r="V94" s="247">
        <f>IF($C94="",0,IF(ISNA(VLOOKUP($A94&amp;"_"&amp;V$4,'2. หน้างบรายจ่าย'!$C:$K,7,0)),0,VLOOKUP($A94&amp;"_"&amp;V$4,'2. หน้างบรายจ่าย'!$C:$K,7,0)))</f>
        <v>0</v>
      </c>
      <c r="W94" s="247">
        <f>IF($C94="",0,IF(ISNA(VLOOKUP($A94&amp;"_"&amp;W$4,'2. หน้างบรายจ่าย'!$C:$K,8,0)),0,VLOOKUP($A94&amp;"_"&amp;W$4,'2. หน้างบรายจ่าย'!$C:$K,8,0)))</f>
        <v>0</v>
      </c>
      <c r="X94" s="247">
        <f>IF($C94="",0,IF(ISNA(VLOOKUP($A94&amp;"_"&amp;X$4,'2. หน้างบรายจ่าย'!$C:$K,9,0)),0,VLOOKUP($A94&amp;"_"&amp;X$4,'2. หน้างบรายจ่าย'!$C:$K,9,0)))</f>
        <v>0</v>
      </c>
      <c r="Y94" s="247">
        <f>IF($C94="",0,IF(ISNA(VLOOKUP($A94&amp;"_"&amp;Y$4,'2. หน้างบรายจ่าย'!$C:$K,7,0)),0,VLOOKUP($A94&amp;"_"&amp;Y$4,'2. หน้างบรายจ่าย'!$C:$K,7,0)))</f>
        <v>0</v>
      </c>
      <c r="Z94" s="247">
        <f>IF($C94="",0,IF(ISNA(VLOOKUP($A94&amp;"_"&amp;Z$4,'2. หน้างบรายจ่าย'!$C:$K,8,0)),0,VLOOKUP($A94&amp;"_"&amp;Z$4,'2. หน้างบรายจ่าย'!$C:$K,8,0)))</f>
        <v>0</v>
      </c>
      <c r="AA94" s="247">
        <f>IF($C94="",0,IF(ISNA(VLOOKUP($A94&amp;"_"&amp;AA$4,'2. หน้างบรายจ่าย'!$C:$K,9,0)),0,VLOOKUP($A94&amp;"_"&amp;AA$4,'2. หน้างบรายจ่าย'!$C:$K,9,0)))</f>
        <v>0</v>
      </c>
      <c r="AB94" s="247">
        <f>IF($C94="",0,IF(ISNA(VLOOKUP($A94&amp;"_"&amp;AB$4,'2. หน้างบรายจ่าย'!$C:$K,7,0)),0,VLOOKUP($A94&amp;"_"&amp;AB$4,'2. หน้างบรายจ่าย'!$C:$K,7,0)))</f>
        <v>0</v>
      </c>
      <c r="AC94" s="251">
        <f>IF($C94="",0,IF(ISNA(VLOOKUP($A94&amp;"_"&amp;AC$4,'2. หน้างบรายจ่าย'!$C:$K,8,0)),0,VLOOKUP($A94&amp;"_"&amp;AC$4,'2. หน้างบรายจ่าย'!$C:$K,8,0)))</f>
        <v>0</v>
      </c>
      <c r="AD94" s="248">
        <f>IF($C94="",0,IF(ISNA(VLOOKUP($A94&amp;"_"&amp;AD$4,'2. หน้างบรายจ่าย'!$C:$K,9,0)),0,VLOOKUP($A94&amp;"_"&amp;AD$4,'2. หน้างบรายจ่าย'!$C:$K,9,0)))</f>
        <v>0</v>
      </c>
      <c r="AE94" s="246">
        <f>IF($C94="",0,IF(ISNA(VLOOKUP($A94&amp;"_"&amp;AE$4,'2. หน้างบรายจ่าย'!$C:$K,7,0)),0,VLOOKUP($A94&amp;"_"&amp;AE$4,'2. หน้างบรายจ่าย'!$C:$K,7,0)))</f>
        <v>0</v>
      </c>
      <c r="AF94" s="250">
        <f>IF($C94="",0,IF(ISNA(VLOOKUP($A94&amp;"_"&amp;AF$4,'2. หน้างบรายจ่าย'!$C:$K,8,0)),0,VLOOKUP($A94&amp;"_"&amp;AF$4,'2. หน้างบรายจ่าย'!$C:$K,8,0)))</f>
        <v>0</v>
      </c>
      <c r="AG94" s="248">
        <f>IF($C94="",0,IF(ISNA(VLOOKUP($A94&amp;"_"&amp;AG$4,'2. หน้างบรายจ่าย'!$C:$K,9,0)),0,VLOOKUP($A94&amp;"_"&amp;AG$4,'2. หน้างบรายจ่าย'!$C:$K,9,0)))</f>
        <v>0</v>
      </c>
      <c r="AH94" s="249">
        <f>IF($C94="",0,IF(ISNA(VLOOKUP($A94&amp;"_"&amp;AH$4,'2. หน้างบรายจ่าย'!$C:$K,7,0)),0,VLOOKUP($A94&amp;"_"&amp;AH$4,'2. หน้างบรายจ่าย'!$C:$K,7,0)))</f>
        <v>0</v>
      </c>
      <c r="AI94" s="250">
        <f>IF($C94="",0,IF(ISNA(VLOOKUP($A94&amp;"_"&amp;AI$4,'2. หน้างบรายจ่าย'!$C:$K,8,0)),0,VLOOKUP($A94&amp;"_"&amp;AI$4,'2. หน้างบรายจ่าย'!$C:$K,8,0)))</f>
        <v>0</v>
      </c>
      <c r="AJ94" s="248">
        <f>IF($C94="",0,IF(ISNA(VLOOKUP($A94&amp;"_"&amp;AJ$4,'2. หน้างบรายจ่าย'!$C:$K,9,0)),0,VLOOKUP($A94&amp;"_"&amp;AJ$4,'2. หน้างบรายจ่าย'!$C:$K,9,0)))</f>
        <v>0</v>
      </c>
      <c r="AK94" s="249">
        <f>IF($C94="",0,IF(ISNA(VLOOKUP($A94&amp;"_"&amp;AK$4,'2. หน้างบรายจ่าย'!$C:$K,7,0)),0,VLOOKUP($A94&amp;"_"&amp;AK$4,'2. หน้างบรายจ่าย'!$C:$K,7,0)))</f>
        <v>0</v>
      </c>
      <c r="AL94" s="250">
        <f>IF($C94="",0,IF(ISNA(VLOOKUP($A94&amp;"_"&amp;AL$4,'2. หน้างบรายจ่าย'!$C:$K,8,0)),0,VLOOKUP($A94&amp;"_"&amp;AL$4,'2. หน้างบรายจ่าย'!$C:$K,8,0)))</f>
        <v>0</v>
      </c>
      <c r="AM94" s="248">
        <f>IF($C94="",0,IF(ISNA(VLOOKUP($A94&amp;"_"&amp;AM$4,'2. หน้างบรายจ่าย'!$C:$K,9,0)),0,VLOOKUP($A94&amp;"_"&amp;AM$4,'2. หน้างบรายจ่าย'!$C:$K,9,0)))</f>
        <v>0</v>
      </c>
      <c r="AP94" s="171" t="str">
        <f t="shared" si="30"/>
        <v>No</v>
      </c>
    </row>
    <row r="95" spans="1:42" ht="25.5" hidden="1" customHeight="1">
      <c r="A95" s="210">
        <v>66</v>
      </c>
      <c r="B95" s="244" t="str">
        <f>IF(ISNA(VLOOKUP(A95,'2. หน้างบรายจ่าย'!$A:$K,4,0)),"",TEXT(VLOOKUP(A95,'2. หน้างบรายจ่าย'!$A:$K,4,0),"dd ดดด yy"))</f>
        <v/>
      </c>
      <c r="C95" s="245" t="str">
        <f>IF(ISNA(VLOOKUP(A95,'2. หน้างบรายจ่าย'!$A:$K,8,0)),"",VLOOKUP(A95,'2. หน้างบรายจ่าย'!$A:$K,8,0))</f>
        <v/>
      </c>
      <c r="D95" s="231">
        <f t="shared" si="22"/>
        <v>0</v>
      </c>
      <c r="E95" s="232">
        <f t="shared" si="23"/>
        <v>0</v>
      </c>
      <c r="F95" s="231">
        <f t="shared" si="24"/>
        <v>0</v>
      </c>
      <c r="G95" s="247">
        <f>IF($C95="",0,IF(ISNA(VLOOKUP($A95&amp;"_"&amp;G$4,'2. หน้างบรายจ่าย'!$C:$K,7,0)),0,VLOOKUP($A95&amp;"_"&amp;G$4,'2. หน้างบรายจ่าย'!$C:$K,7,0)))</f>
        <v>0</v>
      </c>
      <c r="H95" s="247">
        <f>IF($C95="",0,IF(ISNA(VLOOKUP($A95&amp;"_"&amp;H$4,'2. หน้างบรายจ่าย'!$C:$K,8,0)),0,VLOOKUP($A95&amp;"_"&amp;H$4,'2. หน้างบรายจ่าย'!$C:$K,8,0)))</f>
        <v>0</v>
      </c>
      <c r="I95" s="247">
        <f>IF($C95="",0,IF(ISNA(VLOOKUP($A95&amp;"_"&amp;I$4,'2. หน้างบรายจ่าย'!$C:$K,9,0)),0,VLOOKUP($A95&amp;"_"&amp;I$4,'2. หน้างบรายจ่าย'!$C:$K,9,0)))</f>
        <v>0</v>
      </c>
      <c r="J95" s="247">
        <f>IF($C95="",0,IF(ISNA(VLOOKUP($A95&amp;"_"&amp;J$4,'2. หน้างบรายจ่าย'!$C:$K,7,0)),0,VLOOKUP($A95&amp;"_"&amp;J$4,'2. หน้างบรายจ่าย'!$C:$K,7,0)))</f>
        <v>0</v>
      </c>
      <c r="K95" s="247">
        <f>IF($C95="",0,IF(ISNA(VLOOKUP($A95&amp;"_"&amp;K$4,'2. หน้างบรายจ่าย'!$C:$K,8,0)),0,VLOOKUP($A95&amp;"_"&amp;K$4,'2. หน้างบรายจ่าย'!$C:$K,8,0)))</f>
        <v>0</v>
      </c>
      <c r="L95" s="247">
        <f>IF($C95="",0,IF(ISNA(VLOOKUP($A95&amp;"_"&amp;L$4,'2. หน้างบรายจ่าย'!$C:$K,9,0)),0,VLOOKUP($A95&amp;"_"&amp;L$4,'2. หน้างบรายจ่าย'!$C:$K,9,0)))</f>
        <v>0</v>
      </c>
      <c r="M95" s="247">
        <f>IF($C95="",0,IF(ISNA(VLOOKUP($A95&amp;"_"&amp;M$4,'2. หน้างบรายจ่าย'!$C:$K,7,0)),0,VLOOKUP($A95&amp;"_"&amp;M$4,'2. หน้างบรายจ่าย'!$C:$K,7,0)))</f>
        <v>0</v>
      </c>
      <c r="N95" s="247">
        <f>IF($C95="",0,IF(ISNA(VLOOKUP($A95&amp;"_"&amp;N$4,'2. หน้างบรายจ่าย'!$C:$K,8,0)),0,VLOOKUP($A95&amp;"_"&amp;N$4,'2. หน้างบรายจ่าย'!$C:$K,8,0)))</f>
        <v>0</v>
      </c>
      <c r="O95" s="248">
        <f>IF($C95="",0,IF(ISNA(VLOOKUP($A95&amp;"_"&amp;O$4,'2. หน้างบรายจ่าย'!$C:$K,9,0)),0,VLOOKUP($A95&amp;"_"&amp;O$4,'2. หน้างบรายจ่าย'!$C:$K,9,0)))</f>
        <v>0</v>
      </c>
      <c r="P95" s="246">
        <f>IF($C95="",0,IF(ISNA(VLOOKUP($A95&amp;"_"&amp;P$4,'2. หน้างบรายจ่าย'!$C:$K,7,0)),0,VLOOKUP($A95&amp;"_"&amp;P$4,'2. หน้างบรายจ่าย'!$C:$K,7,0)))</f>
        <v>0</v>
      </c>
      <c r="Q95" s="249">
        <f>IF($C95="",0,IF(ISNA(VLOOKUP($A95&amp;"_"&amp;Q$4,'2. หน้างบรายจ่าย'!$C:$K,8,0)),0,VLOOKUP($A95&amp;"_"&amp;Q$4,'2. หน้างบรายจ่าย'!$C:$K,8,0)))</f>
        <v>0</v>
      </c>
      <c r="R95" s="247">
        <f>IF($C95="",0,IF(ISNA(VLOOKUP($A95&amp;"_"&amp;R$4,'2. หน้างบรายจ่าย'!$C:$K,9,0)),0,VLOOKUP($A95&amp;"_"&amp;R$4,'2. หน้างบรายจ่าย'!$C:$K,9,0)))</f>
        <v>0</v>
      </c>
      <c r="S95" s="247">
        <f>IF($C95="",0,IF(ISNA(VLOOKUP($A95&amp;"_"&amp;S$4,'2. หน้างบรายจ่าย'!$C:$K,7,0)),0,VLOOKUP($A95&amp;"_"&amp;S$4,'2. หน้างบรายจ่าย'!$C:$K,7,0)))</f>
        <v>0</v>
      </c>
      <c r="T95" s="247">
        <f>IF($C95="",0,IF(ISNA(VLOOKUP($A95&amp;"_"&amp;T$4,'2. หน้างบรายจ่าย'!$C:$K,8,0)),0,VLOOKUP($A95&amp;"_"&amp;T$4,'2. หน้างบรายจ่าย'!$C:$K,8,0)))</f>
        <v>0</v>
      </c>
      <c r="U95" s="247">
        <f>IF($C95="",0,IF(ISNA(VLOOKUP($A95&amp;"_"&amp;U$4,'2. หน้างบรายจ่าย'!$C:$K,9,0)),0,VLOOKUP($A95&amp;"_"&amp;U$4,'2. หน้างบรายจ่าย'!$C:$K,9,0)))</f>
        <v>0</v>
      </c>
      <c r="V95" s="247">
        <f>IF($C95="",0,IF(ISNA(VLOOKUP($A95&amp;"_"&amp;V$4,'2. หน้างบรายจ่าย'!$C:$K,7,0)),0,VLOOKUP($A95&amp;"_"&amp;V$4,'2. หน้างบรายจ่าย'!$C:$K,7,0)))</f>
        <v>0</v>
      </c>
      <c r="W95" s="247">
        <f>IF($C95="",0,IF(ISNA(VLOOKUP($A95&amp;"_"&amp;W$4,'2. หน้างบรายจ่าย'!$C:$K,8,0)),0,VLOOKUP($A95&amp;"_"&amp;W$4,'2. หน้างบรายจ่าย'!$C:$K,8,0)))</f>
        <v>0</v>
      </c>
      <c r="X95" s="247">
        <f>IF($C95="",0,IF(ISNA(VLOOKUP($A95&amp;"_"&amp;X$4,'2. หน้างบรายจ่าย'!$C:$K,9,0)),0,VLOOKUP($A95&amp;"_"&amp;X$4,'2. หน้างบรายจ่าย'!$C:$K,9,0)))</f>
        <v>0</v>
      </c>
      <c r="Y95" s="247">
        <f>IF($C95="",0,IF(ISNA(VLOOKUP($A95&amp;"_"&amp;Y$4,'2. หน้างบรายจ่าย'!$C:$K,7,0)),0,VLOOKUP($A95&amp;"_"&amp;Y$4,'2. หน้างบรายจ่าย'!$C:$K,7,0)))</f>
        <v>0</v>
      </c>
      <c r="Z95" s="247">
        <f>IF($C95="",0,IF(ISNA(VLOOKUP($A95&amp;"_"&amp;Z$4,'2. หน้างบรายจ่าย'!$C:$K,8,0)),0,VLOOKUP($A95&amp;"_"&amp;Z$4,'2. หน้างบรายจ่าย'!$C:$K,8,0)))</f>
        <v>0</v>
      </c>
      <c r="AA95" s="247">
        <f>IF($C95="",0,IF(ISNA(VLOOKUP($A95&amp;"_"&amp;AA$4,'2. หน้างบรายจ่าย'!$C:$K,9,0)),0,VLOOKUP($A95&amp;"_"&amp;AA$4,'2. หน้างบรายจ่าย'!$C:$K,9,0)))</f>
        <v>0</v>
      </c>
      <c r="AB95" s="247">
        <f>IF($C95="",0,IF(ISNA(VLOOKUP($A95&amp;"_"&amp;AB$4,'2. หน้างบรายจ่าย'!$C:$K,7,0)),0,VLOOKUP($A95&amp;"_"&amp;AB$4,'2. หน้างบรายจ่าย'!$C:$K,7,0)))</f>
        <v>0</v>
      </c>
      <c r="AC95" s="251">
        <f>IF($C95="",0,IF(ISNA(VLOOKUP($A95&amp;"_"&amp;AC$4,'2. หน้างบรายจ่าย'!$C:$K,8,0)),0,VLOOKUP($A95&amp;"_"&amp;AC$4,'2. หน้างบรายจ่าย'!$C:$K,8,0)))</f>
        <v>0</v>
      </c>
      <c r="AD95" s="248">
        <f>IF($C95="",0,IF(ISNA(VLOOKUP($A95&amp;"_"&amp;AD$4,'2. หน้างบรายจ่าย'!$C:$K,9,0)),0,VLOOKUP($A95&amp;"_"&amp;AD$4,'2. หน้างบรายจ่าย'!$C:$K,9,0)))</f>
        <v>0</v>
      </c>
      <c r="AE95" s="246">
        <f>IF($C95="",0,IF(ISNA(VLOOKUP($A95&amp;"_"&amp;AE$4,'2. หน้างบรายจ่าย'!$C:$K,7,0)),0,VLOOKUP($A95&amp;"_"&amp;AE$4,'2. หน้างบรายจ่าย'!$C:$K,7,0)))</f>
        <v>0</v>
      </c>
      <c r="AF95" s="250">
        <f>IF($C95="",0,IF(ISNA(VLOOKUP($A95&amp;"_"&amp;AF$4,'2. หน้างบรายจ่าย'!$C:$K,8,0)),0,VLOOKUP($A95&amp;"_"&amp;AF$4,'2. หน้างบรายจ่าย'!$C:$K,8,0)))</f>
        <v>0</v>
      </c>
      <c r="AG95" s="248">
        <f>IF($C95="",0,IF(ISNA(VLOOKUP($A95&amp;"_"&amp;AG$4,'2. หน้างบรายจ่าย'!$C:$K,9,0)),0,VLOOKUP($A95&amp;"_"&amp;AG$4,'2. หน้างบรายจ่าย'!$C:$K,9,0)))</f>
        <v>0</v>
      </c>
      <c r="AH95" s="249">
        <f>IF($C95="",0,IF(ISNA(VLOOKUP($A95&amp;"_"&amp;AH$4,'2. หน้างบรายจ่าย'!$C:$K,7,0)),0,VLOOKUP($A95&amp;"_"&amp;AH$4,'2. หน้างบรายจ่าย'!$C:$K,7,0)))</f>
        <v>0</v>
      </c>
      <c r="AI95" s="250">
        <f>IF($C95="",0,IF(ISNA(VLOOKUP($A95&amp;"_"&amp;AI$4,'2. หน้างบรายจ่าย'!$C:$K,8,0)),0,VLOOKUP($A95&amp;"_"&amp;AI$4,'2. หน้างบรายจ่าย'!$C:$K,8,0)))</f>
        <v>0</v>
      </c>
      <c r="AJ95" s="248">
        <f>IF($C95="",0,IF(ISNA(VLOOKUP($A95&amp;"_"&amp;AJ$4,'2. หน้างบรายจ่าย'!$C:$K,9,0)),0,VLOOKUP($A95&amp;"_"&amp;AJ$4,'2. หน้างบรายจ่าย'!$C:$K,9,0)))</f>
        <v>0</v>
      </c>
      <c r="AK95" s="249">
        <f>IF($C95="",0,IF(ISNA(VLOOKUP($A95&amp;"_"&amp;AK$4,'2. หน้างบรายจ่าย'!$C:$K,7,0)),0,VLOOKUP($A95&amp;"_"&amp;AK$4,'2. หน้างบรายจ่าย'!$C:$K,7,0)))</f>
        <v>0</v>
      </c>
      <c r="AL95" s="250">
        <f>IF($C95="",0,IF(ISNA(VLOOKUP($A95&amp;"_"&amp;AL$4,'2. หน้างบรายจ่าย'!$C:$K,8,0)),0,VLOOKUP($A95&amp;"_"&amp;AL$4,'2. หน้างบรายจ่าย'!$C:$K,8,0)))</f>
        <v>0</v>
      </c>
      <c r="AM95" s="248">
        <f>IF($C95="",0,IF(ISNA(VLOOKUP($A95&amp;"_"&amp;AM$4,'2. หน้างบรายจ่าย'!$C:$K,9,0)),0,VLOOKUP($A95&amp;"_"&amp;AM$4,'2. หน้างบรายจ่าย'!$C:$K,9,0)))</f>
        <v>0</v>
      </c>
      <c r="AP95" s="171" t="str">
        <f t="shared" si="30"/>
        <v>No</v>
      </c>
    </row>
    <row r="96" spans="1:42" ht="25.5" hidden="1" customHeight="1">
      <c r="A96" s="210">
        <v>67</v>
      </c>
      <c r="B96" s="244" t="str">
        <f>IF(ISNA(VLOOKUP(A96,'2. หน้างบรายจ่าย'!$A:$K,4,0)),"",TEXT(VLOOKUP(A96,'2. หน้างบรายจ่าย'!$A:$K,4,0),"dd ดดด yy"))</f>
        <v/>
      </c>
      <c r="C96" s="245" t="str">
        <f>IF(ISNA(VLOOKUP(A96,'2. หน้างบรายจ่าย'!$A:$K,8,0)),"",VLOOKUP(A96,'2. หน้างบรายจ่าย'!$A:$K,8,0))</f>
        <v/>
      </c>
      <c r="D96" s="231">
        <f t="shared" si="22"/>
        <v>0</v>
      </c>
      <c r="E96" s="232">
        <f t="shared" si="23"/>
        <v>0</v>
      </c>
      <c r="F96" s="231">
        <f t="shared" si="24"/>
        <v>0</v>
      </c>
      <c r="G96" s="247">
        <f>IF($C96="",0,IF(ISNA(VLOOKUP($A96&amp;"_"&amp;G$4,'2. หน้างบรายจ่าย'!$C:$K,7,0)),0,VLOOKUP($A96&amp;"_"&amp;G$4,'2. หน้างบรายจ่าย'!$C:$K,7,0)))</f>
        <v>0</v>
      </c>
      <c r="H96" s="247">
        <f>IF($C96="",0,IF(ISNA(VLOOKUP($A96&amp;"_"&amp;H$4,'2. หน้างบรายจ่าย'!$C:$K,8,0)),0,VLOOKUP($A96&amp;"_"&amp;H$4,'2. หน้างบรายจ่าย'!$C:$K,8,0)))</f>
        <v>0</v>
      </c>
      <c r="I96" s="247">
        <f>IF($C96="",0,IF(ISNA(VLOOKUP($A96&amp;"_"&amp;I$4,'2. หน้างบรายจ่าย'!$C:$K,9,0)),0,VLOOKUP($A96&amp;"_"&amp;I$4,'2. หน้างบรายจ่าย'!$C:$K,9,0)))</f>
        <v>0</v>
      </c>
      <c r="J96" s="247">
        <f>IF($C96="",0,IF(ISNA(VLOOKUP($A96&amp;"_"&amp;J$4,'2. หน้างบรายจ่าย'!$C:$K,7,0)),0,VLOOKUP($A96&amp;"_"&amp;J$4,'2. หน้างบรายจ่าย'!$C:$K,7,0)))</f>
        <v>0</v>
      </c>
      <c r="K96" s="247">
        <f>IF($C96="",0,IF(ISNA(VLOOKUP($A96&amp;"_"&amp;K$4,'2. หน้างบรายจ่าย'!$C:$K,8,0)),0,VLOOKUP($A96&amp;"_"&amp;K$4,'2. หน้างบรายจ่าย'!$C:$K,8,0)))</f>
        <v>0</v>
      </c>
      <c r="L96" s="247">
        <f>IF($C96="",0,IF(ISNA(VLOOKUP($A96&amp;"_"&amp;L$4,'2. หน้างบรายจ่าย'!$C:$K,9,0)),0,VLOOKUP($A96&amp;"_"&amp;L$4,'2. หน้างบรายจ่าย'!$C:$K,9,0)))</f>
        <v>0</v>
      </c>
      <c r="M96" s="247">
        <f>IF($C96="",0,IF(ISNA(VLOOKUP($A96&amp;"_"&amp;M$4,'2. หน้างบรายจ่าย'!$C:$K,7,0)),0,VLOOKUP($A96&amp;"_"&amp;M$4,'2. หน้างบรายจ่าย'!$C:$K,7,0)))</f>
        <v>0</v>
      </c>
      <c r="N96" s="247">
        <f>IF($C96="",0,IF(ISNA(VLOOKUP($A96&amp;"_"&amp;N$4,'2. หน้างบรายจ่าย'!$C:$K,8,0)),0,VLOOKUP($A96&amp;"_"&amp;N$4,'2. หน้างบรายจ่าย'!$C:$K,8,0)))</f>
        <v>0</v>
      </c>
      <c r="O96" s="248">
        <f>IF($C96="",0,IF(ISNA(VLOOKUP($A96&amp;"_"&amp;O$4,'2. หน้างบรายจ่าย'!$C:$K,9,0)),0,VLOOKUP($A96&amp;"_"&amp;O$4,'2. หน้างบรายจ่าย'!$C:$K,9,0)))</f>
        <v>0</v>
      </c>
      <c r="P96" s="246">
        <f>IF($C96="",0,IF(ISNA(VLOOKUP($A96&amp;"_"&amp;P$4,'2. หน้างบรายจ่าย'!$C:$K,7,0)),0,VLOOKUP($A96&amp;"_"&amp;P$4,'2. หน้างบรายจ่าย'!$C:$K,7,0)))</f>
        <v>0</v>
      </c>
      <c r="Q96" s="249">
        <f>IF($C96="",0,IF(ISNA(VLOOKUP($A96&amp;"_"&amp;Q$4,'2. หน้างบรายจ่าย'!$C:$K,8,0)),0,VLOOKUP($A96&amp;"_"&amp;Q$4,'2. หน้างบรายจ่าย'!$C:$K,8,0)))</f>
        <v>0</v>
      </c>
      <c r="R96" s="247">
        <f>IF($C96="",0,IF(ISNA(VLOOKUP($A96&amp;"_"&amp;R$4,'2. หน้างบรายจ่าย'!$C:$K,9,0)),0,VLOOKUP($A96&amp;"_"&amp;R$4,'2. หน้างบรายจ่าย'!$C:$K,9,0)))</f>
        <v>0</v>
      </c>
      <c r="S96" s="247">
        <f>IF($C96="",0,IF(ISNA(VLOOKUP($A96&amp;"_"&amp;S$4,'2. หน้างบรายจ่าย'!$C:$K,7,0)),0,VLOOKUP($A96&amp;"_"&amp;S$4,'2. หน้างบรายจ่าย'!$C:$K,7,0)))</f>
        <v>0</v>
      </c>
      <c r="T96" s="247">
        <f>IF($C96="",0,IF(ISNA(VLOOKUP($A96&amp;"_"&amp;T$4,'2. หน้างบรายจ่าย'!$C:$K,8,0)),0,VLOOKUP($A96&amp;"_"&amp;T$4,'2. หน้างบรายจ่าย'!$C:$K,8,0)))</f>
        <v>0</v>
      </c>
      <c r="U96" s="247">
        <f>IF($C96="",0,IF(ISNA(VLOOKUP($A96&amp;"_"&amp;U$4,'2. หน้างบรายจ่าย'!$C:$K,9,0)),0,VLOOKUP($A96&amp;"_"&amp;U$4,'2. หน้างบรายจ่าย'!$C:$K,9,0)))</f>
        <v>0</v>
      </c>
      <c r="V96" s="247">
        <f>IF($C96="",0,IF(ISNA(VLOOKUP($A96&amp;"_"&amp;V$4,'2. หน้างบรายจ่าย'!$C:$K,7,0)),0,VLOOKUP($A96&amp;"_"&amp;V$4,'2. หน้างบรายจ่าย'!$C:$K,7,0)))</f>
        <v>0</v>
      </c>
      <c r="W96" s="247">
        <f>IF($C96="",0,IF(ISNA(VLOOKUP($A96&amp;"_"&amp;W$4,'2. หน้างบรายจ่าย'!$C:$K,8,0)),0,VLOOKUP($A96&amp;"_"&amp;W$4,'2. หน้างบรายจ่าย'!$C:$K,8,0)))</f>
        <v>0</v>
      </c>
      <c r="X96" s="247">
        <f>IF($C96="",0,IF(ISNA(VLOOKUP($A96&amp;"_"&amp;X$4,'2. หน้างบรายจ่าย'!$C:$K,9,0)),0,VLOOKUP($A96&amp;"_"&amp;X$4,'2. หน้างบรายจ่าย'!$C:$K,9,0)))</f>
        <v>0</v>
      </c>
      <c r="Y96" s="247">
        <f>IF($C96="",0,IF(ISNA(VLOOKUP($A96&amp;"_"&amp;Y$4,'2. หน้างบรายจ่าย'!$C:$K,7,0)),0,VLOOKUP($A96&amp;"_"&amp;Y$4,'2. หน้างบรายจ่าย'!$C:$K,7,0)))</f>
        <v>0</v>
      </c>
      <c r="Z96" s="247">
        <f>IF($C96="",0,IF(ISNA(VLOOKUP($A96&amp;"_"&amp;Z$4,'2. หน้างบรายจ่าย'!$C:$K,8,0)),0,VLOOKUP($A96&amp;"_"&amp;Z$4,'2. หน้างบรายจ่าย'!$C:$K,8,0)))</f>
        <v>0</v>
      </c>
      <c r="AA96" s="247">
        <f>IF($C96="",0,IF(ISNA(VLOOKUP($A96&amp;"_"&amp;AA$4,'2. หน้างบรายจ่าย'!$C:$K,9,0)),0,VLOOKUP($A96&amp;"_"&amp;AA$4,'2. หน้างบรายจ่าย'!$C:$K,9,0)))</f>
        <v>0</v>
      </c>
      <c r="AB96" s="247">
        <f>IF($C96="",0,IF(ISNA(VLOOKUP($A96&amp;"_"&amp;AB$4,'2. หน้างบรายจ่าย'!$C:$K,7,0)),0,VLOOKUP($A96&amp;"_"&amp;AB$4,'2. หน้างบรายจ่าย'!$C:$K,7,0)))</f>
        <v>0</v>
      </c>
      <c r="AC96" s="251">
        <f>IF($C96="",0,IF(ISNA(VLOOKUP($A96&amp;"_"&amp;AC$4,'2. หน้างบรายจ่าย'!$C:$K,8,0)),0,VLOOKUP($A96&amp;"_"&amp;AC$4,'2. หน้างบรายจ่าย'!$C:$K,8,0)))</f>
        <v>0</v>
      </c>
      <c r="AD96" s="248">
        <f>IF($C96="",0,IF(ISNA(VLOOKUP($A96&amp;"_"&amp;AD$4,'2. หน้างบรายจ่าย'!$C:$K,9,0)),0,VLOOKUP($A96&amp;"_"&amp;AD$4,'2. หน้างบรายจ่าย'!$C:$K,9,0)))</f>
        <v>0</v>
      </c>
      <c r="AE96" s="246">
        <f>IF($C96="",0,IF(ISNA(VLOOKUP($A96&amp;"_"&amp;AE$4,'2. หน้างบรายจ่าย'!$C:$K,7,0)),0,VLOOKUP($A96&amp;"_"&amp;AE$4,'2. หน้างบรายจ่าย'!$C:$K,7,0)))</f>
        <v>0</v>
      </c>
      <c r="AF96" s="250">
        <f>IF($C96="",0,IF(ISNA(VLOOKUP($A96&amp;"_"&amp;AF$4,'2. หน้างบรายจ่าย'!$C:$K,8,0)),0,VLOOKUP($A96&amp;"_"&amp;AF$4,'2. หน้างบรายจ่าย'!$C:$K,8,0)))</f>
        <v>0</v>
      </c>
      <c r="AG96" s="248">
        <f>IF($C96="",0,IF(ISNA(VLOOKUP($A96&amp;"_"&amp;AG$4,'2. หน้างบรายจ่าย'!$C:$K,9,0)),0,VLOOKUP($A96&amp;"_"&amp;AG$4,'2. หน้างบรายจ่าย'!$C:$K,9,0)))</f>
        <v>0</v>
      </c>
      <c r="AH96" s="249">
        <f>IF($C96="",0,IF(ISNA(VLOOKUP($A96&amp;"_"&amp;AH$4,'2. หน้างบรายจ่าย'!$C:$K,7,0)),0,VLOOKUP($A96&amp;"_"&amp;AH$4,'2. หน้างบรายจ่าย'!$C:$K,7,0)))</f>
        <v>0</v>
      </c>
      <c r="AI96" s="250">
        <f>IF($C96="",0,IF(ISNA(VLOOKUP($A96&amp;"_"&amp;AI$4,'2. หน้างบรายจ่าย'!$C:$K,8,0)),0,VLOOKUP($A96&amp;"_"&amp;AI$4,'2. หน้างบรายจ่าย'!$C:$K,8,0)))</f>
        <v>0</v>
      </c>
      <c r="AJ96" s="248">
        <f>IF($C96="",0,IF(ISNA(VLOOKUP($A96&amp;"_"&amp;AJ$4,'2. หน้างบรายจ่าย'!$C:$K,9,0)),0,VLOOKUP($A96&amp;"_"&amp;AJ$4,'2. หน้างบรายจ่าย'!$C:$K,9,0)))</f>
        <v>0</v>
      </c>
      <c r="AK96" s="249">
        <f>IF($C96="",0,IF(ISNA(VLOOKUP($A96&amp;"_"&amp;AK$4,'2. หน้างบรายจ่าย'!$C:$K,7,0)),0,VLOOKUP($A96&amp;"_"&amp;AK$4,'2. หน้างบรายจ่าย'!$C:$K,7,0)))</f>
        <v>0</v>
      </c>
      <c r="AL96" s="250">
        <f>IF($C96="",0,IF(ISNA(VLOOKUP($A96&amp;"_"&amp;AL$4,'2. หน้างบรายจ่าย'!$C:$K,8,0)),0,VLOOKUP($A96&amp;"_"&amp;AL$4,'2. หน้างบรายจ่าย'!$C:$K,8,0)))</f>
        <v>0</v>
      </c>
      <c r="AM96" s="248">
        <f>IF($C96="",0,IF(ISNA(VLOOKUP($A96&amp;"_"&amp;AM$4,'2. หน้างบรายจ่าย'!$C:$K,9,0)),0,VLOOKUP($A96&amp;"_"&amp;AM$4,'2. หน้างบรายจ่าย'!$C:$K,9,0)))</f>
        <v>0</v>
      </c>
      <c r="AP96" s="171" t="str">
        <f t="shared" si="30"/>
        <v>No</v>
      </c>
    </row>
    <row r="97" spans="1:42" ht="25.5" hidden="1" customHeight="1">
      <c r="A97" s="210">
        <v>68</v>
      </c>
      <c r="B97" s="244" t="str">
        <f>IF(ISNA(VLOOKUP(A97,'2. หน้างบรายจ่าย'!$A:$K,4,0)),"",TEXT(VLOOKUP(A97,'2. หน้างบรายจ่าย'!$A:$K,4,0),"dd ดดด yy"))</f>
        <v/>
      </c>
      <c r="C97" s="245" t="str">
        <f>IF(ISNA(VLOOKUP(A97,'2. หน้างบรายจ่าย'!$A:$K,8,0)),"",VLOOKUP(A97,'2. หน้างบรายจ่าย'!$A:$K,8,0))</f>
        <v/>
      </c>
      <c r="D97" s="231">
        <f t="shared" si="22"/>
        <v>0</v>
      </c>
      <c r="E97" s="232">
        <f t="shared" si="23"/>
        <v>0</v>
      </c>
      <c r="F97" s="231">
        <f t="shared" si="24"/>
        <v>0</v>
      </c>
      <c r="G97" s="247">
        <f>IF($C97="",0,IF(ISNA(VLOOKUP($A97&amp;"_"&amp;G$4,'2. หน้างบรายจ่าย'!$C:$K,7,0)),0,VLOOKUP($A97&amp;"_"&amp;G$4,'2. หน้างบรายจ่าย'!$C:$K,7,0)))</f>
        <v>0</v>
      </c>
      <c r="H97" s="247">
        <f>IF($C97="",0,IF(ISNA(VLOOKUP($A97&amp;"_"&amp;H$4,'2. หน้างบรายจ่าย'!$C:$K,8,0)),0,VLOOKUP($A97&amp;"_"&amp;H$4,'2. หน้างบรายจ่าย'!$C:$K,8,0)))</f>
        <v>0</v>
      </c>
      <c r="I97" s="247">
        <f>IF($C97="",0,IF(ISNA(VLOOKUP($A97&amp;"_"&amp;I$4,'2. หน้างบรายจ่าย'!$C:$K,9,0)),0,VLOOKUP($A97&amp;"_"&amp;I$4,'2. หน้างบรายจ่าย'!$C:$K,9,0)))</f>
        <v>0</v>
      </c>
      <c r="J97" s="247">
        <f>IF($C97="",0,IF(ISNA(VLOOKUP($A97&amp;"_"&amp;J$4,'2. หน้างบรายจ่าย'!$C:$K,7,0)),0,VLOOKUP($A97&amp;"_"&amp;J$4,'2. หน้างบรายจ่าย'!$C:$K,7,0)))</f>
        <v>0</v>
      </c>
      <c r="K97" s="247">
        <f>IF($C97="",0,IF(ISNA(VLOOKUP($A97&amp;"_"&amp;K$4,'2. หน้างบรายจ่าย'!$C:$K,8,0)),0,VLOOKUP($A97&amp;"_"&amp;K$4,'2. หน้างบรายจ่าย'!$C:$K,8,0)))</f>
        <v>0</v>
      </c>
      <c r="L97" s="247">
        <f>IF($C97="",0,IF(ISNA(VLOOKUP($A97&amp;"_"&amp;L$4,'2. หน้างบรายจ่าย'!$C:$K,9,0)),0,VLOOKUP($A97&amp;"_"&amp;L$4,'2. หน้างบรายจ่าย'!$C:$K,9,0)))</f>
        <v>0</v>
      </c>
      <c r="M97" s="247">
        <f>IF($C97="",0,IF(ISNA(VLOOKUP($A97&amp;"_"&amp;M$4,'2. หน้างบรายจ่าย'!$C:$K,7,0)),0,VLOOKUP($A97&amp;"_"&amp;M$4,'2. หน้างบรายจ่าย'!$C:$K,7,0)))</f>
        <v>0</v>
      </c>
      <c r="N97" s="247">
        <f>IF($C97="",0,IF(ISNA(VLOOKUP($A97&amp;"_"&amp;N$4,'2. หน้างบรายจ่าย'!$C:$K,8,0)),0,VLOOKUP($A97&amp;"_"&amp;N$4,'2. หน้างบรายจ่าย'!$C:$K,8,0)))</f>
        <v>0</v>
      </c>
      <c r="O97" s="248">
        <f>IF($C97="",0,IF(ISNA(VLOOKUP($A97&amp;"_"&amp;O$4,'2. หน้างบรายจ่าย'!$C:$K,9,0)),0,VLOOKUP($A97&amp;"_"&amp;O$4,'2. หน้างบรายจ่าย'!$C:$K,9,0)))</f>
        <v>0</v>
      </c>
      <c r="P97" s="246">
        <f>IF($C97="",0,IF(ISNA(VLOOKUP($A97&amp;"_"&amp;P$4,'2. หน้างบรายจ่าย'!$C:$K,7,0)),0,VLOOKUP($A97&amp;"_"&amp;P$4,'2. หน้างบรายจ่าย'!$C:$K,7,0)))</f>
        <v>0</v>
      </c>
      <c r="Q97" s="249">
        <f>IF($C97="",0,IF(ISNA(VLOOKUP($A97&amp;"_"&amp;Q$4,'2. หน้างบรายจ่าย'!$C:$K,8,0)),0,VLOOKUP($A97&amp;"_"&amp;Q$4,'2. หน้างบรายจ่าย'!$C:$K,8,0)))</f>
        <v>0</v>
      </c>
      <c r="R97" s="247">
        <f>IF($C97="",0,IF(ISNA(VLOOKUP($A97&amp;"_"&amp;R$4,'2. หน้างบรายจ่าย'!$C:$K,9,0)),0,VLOOKUP($A97&amp;"_"&amp;R$4,'2. หน้างบรายจ่าย'!$C:$K,9,0)))</f>
        <v>0</v>
      </c>
      <c r="S97" s="247">
        <f>IF($C97="",0,IF(ISNA(VLOOKUP($A97&amp;"_"&amp;S$4,'2. หน้างบรายจ่าย'!$C:$K,7,0)),0,VLOOKUP($A97&amp;"_"&amp;S$4,'2. หน้างบรายจ่าย'!$C:$K,7,0)))</f>
        <v>0</v>
      </c>
      <c r="T97" s="247">
        <f>IF($C97="",0,IF(ISNA(VLOOKUP($A97&amp;"_"&amp;T$4,'2. หน้างบรายจ่าย'!$C:$K,8,0)),0,VLOOKUP($A97&amp;"_"&amp;T$4,'2. หน้างบรายจ่าย'!$C:$K,8,0)))</f>
        <v>0</v>
      </c>
      <c r="U97" s="247">
        <f>IF($C97="",0,IF(ISNA(VLOOKUP($A97&amp;"_"&amp;U$4,'2. หน้างบรายจ่าย'!$C:$K,9,0)),0,VLOOKUP($A97&amp;"_"&amp;U$4,'2. หน้างบรายจ่าย'!$C:$K,9,0)))</f>
        <v>0</v>
      </c>
      <c r="V97" s="247">
        <f>IF($C97="",0,IF(ISNA(VLOOKUP($A97&amp;"_"&amp;V$4,'2. หน้างบรายจ่าย'!$C:$K,7,0)),0,VLOOKUP($A97&amp;"_"&amp;V$4,'2. หน้างบรายจ่าย'!$C:$K,7,0)))</f>
        <v>0</v>
      </c>
      <c r="W97" s="247">
        <f>IF($C97="",0,IF(ISNA(VLOOKUP($A97&amp;"_"&amp;W$4,'2. หน้างบรายจ่าย'!$C:$K,8,0)),0,VLOOKUP($A97&amp;"_"&amp;W$4,'2. หน้างบรายจ่าย'!$C:$K,8,0)))</f>
        <v>0</v>
      </c>
      <c r="X97" s="247">
        <f>IF($C97="",0,IF(ISNA(VLOOKUP($A97&amp;"_"&amp;X$4,'2. หน้างบรายจ่าย'!$C:$K,9,0)),0,VLOOKUP($A97&amp;"_"&amp;X$4,'2. หน้างบรายจ่าย'!$C:$K,9,0)))</f>
        <v>0</v>
      </c>
      <c r="Y97" s="247">
        <f>IF($C97="",0,IF(ISNA(VLOOKUP($A97&amp;"_"&amp;Y$4,'2. หน้างบรายจ่าย'!$C:$K,7,0)),0,VLOOKUP($A97&amp;"_"&amp;Y$4,'2. หน้างบรายจ่าย'!$C:$K,7,0)))</f>
        <v>0</v>
      </c>
      <c r="Z97" s="247">
        <f>IF($C97="",0,IF(ISNA(VLOOKUP($A97&amp;"_"&amp;Z$4,'2. หน้างบรายจ่าย'!$C:$K,8,0)),0,VLOOKUP($A97&amp;"_"&amp;Z$4,'2. หน้างบรายจ่าย'!$C:$K,8,0)))</f>
        <v>0</v>
      </c>
      <c r="AA97" s="247">
        <f>IF($C97="",0,IF(ISNA(VLOOKUP($A97&amp;"_"&amp;AA$4,'2. หน้างบรายจ่าย'!$C:$K,9,0)),0,VLOOKUP($A97&amp;"_"&amp;AA$4,'2. หน้างบรายจ่าย'!$C:$K,9,0)))</f>
        <v>0</v>
      </c>
      <c r="AB97" s="247">
        <f>IF($C97="",0,IF(ISNA(VLOOKUP($A97&amp;"_"&amp;AB$4,'2. หน้างบรายจ่าย'!$C:$K,7,0)),0,VLOOKUP($A97&amp;"_"&amp;AB$4,'2. หน้างบรายจ่าย'!$C:$K,7,0)))</f>
        <v>0</v>
      </c>
      <c r="AC97" s="251">
        <f>IF($C97="",0,IF(ISNA(VLOOKUP($A97&amp;"_"&amp;AC$4,'2. หน้างบรายจ่าย'!$C:$K,8,0)),0,VLOOKUP($A97&amp;"_"&amp;AC$4,'2. หน้างบรายจ่าย'!$C:$K,8,0)))</f>
        <v>0</v>
      </c>
      <c r="AD97" s="248">
        <f>IF($C97="",0,IF(ISNA(VLOOKUP($A97&amp;"_"&amp;AD$4,'2. หน้างบรายจ่าย'!$C:$K,9,0)),0,VLOOKUP($A97&amp;"_"&amp;AD$4,'2. หน้างบรายจ่าย'!$C:$K,9,0)))</f>
        <v>0</v>
      </c>
      <c r="AE97" s="246">
        <f>IF($C97="",0,IF(ISNA(VLOOKUP($A97&amp;"_"&amp;AE$4,'2. หน้างบรายจ่าย'!$C:$K,7,0)),0,VLOOKUP($A97&amp;"_"&amp;AE$4,'2. หน้างบรายจ่าย'!$C:$K,7,0)))</f>
        <v>0</v>
      </c>
      <c r="AF97" s="250">
        <f>IF($C97="",0,IF(ISNA(VLOOKUP($A97&amp;"_"&amp;AF$4,'2. หน้างบรายจ่าย'!$C:$K,8,0)),0,VLOOKUP($A97&amp;"_"&amp;AF$4,'2. หน้างบรายจ่าย'!$C:$K,8,0)))</f>
        <v>0</v>
      </c>
      <c r="AG97" s="248">
        <f>IF($C97="",0,IF(ISNA(VLOOKUP($A97&amp;"_"&amp;AG$4,'2. หน้างบรายจ่าย'!$C:$K,9,0)),0,VLOOKUP($A97&amp;"_"&amp;AG$4,'2. หน้างบรายจ่าย'!$C:$K,9,0)))</f>
        <v>0</v>
      </c>
      <c r="AH97" s="249">
        <f>IF($C97="",0,IF(ISNA(VLOOKUP($A97&amp;"_"&amp;AH$4,'2. หน้างบรายจ่าย'!$C:$K,7,0)),0,VLOOKUP($A97&amp;"_"&amp;AH$4,'2. หน้างบรายจ่าย'!$C:$K,7,0)))</f>
        <v>0</v>
      </c>
      <c r="AI97" s="250">
        <f>IF($C97="",0,IF(ISNA(VLOOKUP($A97&amp;"_"&amp;AI$4,'2. หน้างบรายจ่าย'!$C:$K,8,0)),0,VLOOKUP($A97&amp;"_"&amp;AI$4,'2. หน้างบรายจ่าย'!$C:$K,8,0)))</f>
        <v>0</v>
      </c>
      <c r="AJ97" s="248">
        <f>IF($C97="",0,IF(ISNA(VLOOKUP($A97&amp;"_"&amp;AJ$4,'2. หน้างบรายจ่าย'!$C:$K,9,0)),0,VLOOKUP($A97&amp;"_"&amp;AJ$4,'2. หน้างบรายจ่าย'!$C:$K,9,0)))</f>
        <v>0</v>
      </c>
      <c r="AK97" s="249">
        <f>IF($C97="",0,IF(ISNA(VLOOKUP($A97&amp;"_"&amp;AK$4,'2. หน้างบรายจ่าย'!$C:$K,7,0)),0,VLOOKUP($A97&amp;"_"&amp;AK$4,'2. หน้างบรายจ่าย'!$C:$K,7,0)))</f>
        <v>0</v>
      </c>
      <c r="AL97" s="250">
        <f>IF($C97="",0,IF(ISNA(VLOOKUP($A97&amp;"_"&amp;AL$4,'2. หน้างบรายจ่าย'!$C:$K,8,0)),0,VLOOKUP($A97&amp;"_"&amp;AL$4,'2. หน้างบรายจ่าย'!$C:$K,8,0)))</f>
        <v>0</v>
      </c>
      <c r="AM97" s="248">
        <f>IF($C97="",0,IF(ISNA(VLOOKUP($A97&amp;"_"&amp;AM$4,'2. หน้างบรายจ่าย'!$C:$K,9,0)),0,VLOOKUP($A97&amp;"_"&amp;AM$4,'2. หน้างบรายจ่าย'!$C:$K,9,0)))</f>
        <v>0</v>
      </c>
      <c r="AP97" s="171" t="str">
        <f t="shared" si="30"/>
        <v>No</v>
      </c>
    </row>
    <row r="98" spans="1:42" ht="25.5" hidden="1" customHeight="1">
      <c r="A98" s="210">
        <v>69</v>
      </c>
      <c r="B98" s="244" t="str">
        <f>IF(ISNA(VLOOKUP(A98,'2. หน้างบรายจ่าย'!$A:$K,4,0)),"",TEXT(VLOOKUP(A98,'2. หน้างบรายจ่าย'!$A:$K,4,0),"dd ดดด yy"))</f>
        <v/>
      </c>
      <c r="C98" s="245" t="str">
        <f>IF(ISNA(VLOOKUP(A98,'2. หน้างบรายจ่าย'!$A:$K,8,0)),"",VLOOKUP(A98,'2. หน้างบรายจ่าย'!$A:$K,8,0))</f>
        <v/>
      </c>
      <c r="D98" s="231">
        <f t="shared" si="22"/>
        <v>0</v>
      </c>
      <c r="E98" s="232">
        <f t="shared" si="23"/>
        <v>0</v>
      </c>
      <c r="F98" s="231">
        <f t="shared" si="24"/>
        <v>0</v>
      </c>
      <c r="G98" s="247">
        <f>IF($C98="",0,IF(ISNA(VLOOKUP($A98&amp;"_"&amp;G$4,'2. หน้างบรายจ่าย'!$C:$K,7,0)),0,VLOOKUP($A98&amp;"_"&amp;G$4,'2. หน้างบรายจ่าย'!$C:$K,7,0)))</f>
        <v>0</v>
      </c>
      <c r="H98" s="247">
        <f>IF($C98="",0,IF(ISNA(VLOOKUP($A98&amp;"_"&amp;H$4,'2. หน้างบรายจ่าย'!$C:$K,8,0)),0,VLOOKUP($A98&amp;"_"&amp;H$4,'2. หน้างบรายจ่าย'!$C:$K,8,0)))</f>
        <v>0</v>
      </c>
      <c r="I98" s="247">
        <f>IF($C98="",0,IF(ISNA(VLOOKUP($A98&amp;"_"&amp;I$4,'2. หน้างบรายจ่าย'!$C:$K,9,0)),0,VLOOKUP($A98&amp;"_"&amp;I$4,'2. หน้างบรายจ่าย'!$C:$K,9,0)))</f>
        <v>0</v>
      </c>
      <c r="J98" s="247">
        <f>IF($C98="",0,IF(ISNA(VLOOKUP($A98&amp;"_"&amp;J$4,'2. หน้างบรายจ่าย'!$C:$K,7,0)),0,VLOOKUP($A98&amp;"_"&amp;J$4,'2. หน้างบรายจ่าย'!$C:$K,7,0)))</f>
        <v>0</v>
      </c>
      <c r="K98" s="247">
        <f>IF($C98="",0,IF(ISNA(VLOOKUP($A98&amp;"_"&amp;K$4,'2. หน้างบรายจ่าย'!$C:$K,8,0)),0,VLOOKUP($A98&amp;"_"&amp;K$4,'2. หน้างบรายจ่าย'!$C:$K,8,0)))</f>
        <v>0</v>
      </c>
      <c r="L98" s="247">
        <f>IF($C98="",0,IF(ISNA(VLOOKUP($A98&amp;"_"&amp;L$4,'2. หน้างบรายจ่าย'!$C:$K,9,0)),0,VLOOKUP($A98&amp;"_"&amp;L$4,'2. หน้างบรายจ่าย'!$C:$K,9,0)))</f>
        <v>0</v>
      </c>
      <c r="M98" s="247">
        <f>IF($C98="",0,IF(ISNA(VLOOKUP($A98&amp;"_"&amp;M$4,'2. หน้างบรายจ่าย'!$C:$K,7,0)),0,VLOOKUP($A98&amp;"_"&amp;M$4,'2. หน้างบรายจ่าย'!$C:$K,7,0)))</f>
        <v>0</v>
      </c>
      <c r="N98" s="247">
        <f>IF($C98="",0,IF(ISNA(VLOOKUP($A98&amp;"_"&amp;N$4,'2. หน้างบรายจ่าย'!$C:$K,8,0)),0,VLOOKUP($A98&amp;"_"&amp;N$4,'2. หน้างบรายจ่าย'!$C:$K,8,0)))</f>
        <v>0</v>
      </c>
      <c r="O98" s="248">
        <f>IF($C98="",0,IF(ISNA(VLOOKUP($A98&amp;"_"&amp;O$4,'2. หน้างบรายจ่าย'!$C:$K,9,0)),0,VLOOKUP($A98&amp;"_"&amp;O$4,'2. หน้างบรายจ่าย'!$C:$K,9,0)))</f>
        <v>0</v>
      </c>
      <c r="P98" s="246">
        <f>IF($C98="",0,IF(ISNA(VLOOKUP($A98&amp;"_"&amp;P$4,'2. หน้างบรายจ่าย'!$C:$K,7,0)),0,VLOOKUP($A98&amp;"_"&amp;P$4,'2. หน้างบรายจ่าย'!$C:$K,7,0)))</f>
        <v>0</v>
      </c>
      <c r="Q98" s="249">
        <f>IF($C98="",0,IF(ISNA(VLOOKUP($A98&amp;"_"&amp;Q$4,'2. หน้างบรายจ่าย'!$C:$K,8,0)),0,VLOOKUP($A98&amp;"_"&amp;Q$4,'2. หน้างบรายจ่าย'!$C:$K,8,0)))</f>
        <v>0</v>
      </c>
      <c r="R98" s="247">
        <f>IF($C98="",0,IF(ISNA(VLOOKUP($A98&amp;"_"&amp;R$4,'2. หน้างบรายจ่าย'!$C:$K,9,0)),0,VLOOKUP($A98&amp;"_"&amp;R$4,'2. หน้างบรายจ่าย'!$C:$K,9,0)))</f>
        <v>0</v>
      </c>
      <c r="S98" s="247">
        <f>IF($C98="",0,IF(ISNA(VLOOKUP($A98&amp;"_"&amp;S$4,'2. หน้างบรายจ่าย'!$C:$K,7,0)),0,VLOOKUP($A98&amp;"_"&amp;S$4,'2. หน้างบรายจ่าย'!$C:$K,7,0)))</f>
        <v>0</v>
      </c>
      <c r="T98" s="247">
        <f>IF($C98="",0,IF(ISNA(VLOOKUP($A98&amp;"_"&amp;T$4,'2. หน้างบรายจ่าย'!$C:$K,8,0)),0,VLOOKUP($A98&amp;"_"&amp;T$4,'2. หน้างบรายจ่าย'!$C:$K,8,0)))</f>
        <v>0</v>
      </c>
      <c r="U98" s="247">
        <f>IF($C98="",0,IF(ISNA(VLOOKUP($A98&amp;"_"&amp;U$4,'2. หน้างบรายจ่าย'!$C:$K,9,0)),0,VLOOKUP($A98&amp;"_"&amp;U$4,'2. หน้างบรายจ่าย'!$C:$K,9,0)))</f>
        <v>0</v>
      </c>
      <c r="V98" s="247">
        <f>IF($C98="",0,IF(ISNA(VLOOKUP($A98&amp;"_"&amp;V$4,'2. หน้างบรายจ่าย'!$C:$K,7,0)),0,VLOOKUP($A98&amp;"_"&amp;V$4,'2. หน้างบรายจ่าย'!$C:$K,7,0)))</f>
        <v>0</v>
      </c>
      <c r="W98" s="247">
        <f>IF($C98="",0,IF(ISNA(VLOOKUP($A98&amp;"_"&amp;W$4,'2. หน้างบรายจ่าย'!$C:$K,8,0)),0,VLOOKUP($A98&amp;"_"&amp;W$4,'2. หน้างบรายจ่าย'!$C:$K,8,0)))</f>
        <v>0</v>
      </c>
      <c r="X98" s="247">
        <f>IF($C98="",0,IF(ISNA(VLOOKUP($A98&amp;"_"&amp;X$4,'2. หน้างบรายจ่าย'!$C:$K,9,0)),0,VLOOKUP($A98&amp;"_"&amp;X$4,'2. หน้างบรายจ่าย'!$C:$K,9,0)))</f>
        <v>0</v>
      </c>
      <c r="Y98" s="247">
        <f>IF($C98="",0,IF(ISNA(VLOOKUP($A98&amp;"_"&amp;Y$4,'2. หน้างบรายจ่าย'!$C:$K,7,0)),0,VLOOKUP($A98&amp;"_"&amp;Y$4,'2. หน้างบรายจ่าย'!$C:$K,7,0)))</f>
        <v>0</v>
      </c>
      <c r="Z98" s="247">
        <f>IF($C98="",0,IF(ISNA(VLOOKUP($A98&amp;"_"&amp;Z$4,'2. หน้างบรายจ่าย'!$C:$K,8,0)),0,VLOOKUP($A98&amp;"_"&amp;Z$4,'2. หน้างบรายจ่าย'!$C:$K,8,0)))</f>
        <v>0</v>
      </c>
      <c r="AA98" s="247">
        <f>IF($C98="",0,IF(ISNA(VLOOKUP($A98&amp;"_"&amp;AA$4,'2. หน้างบรายจ่าย'!$C:$K,9,0)),0,VLOOKUP($A98&amp;"_"&amp;AA$4,'2. หน้างบรายจ่าย'!$C:$K,9,0)))</f>
        <v>0</v>
      </c>
      <c r="AB98" s="247">
        <f>IF($C98="",0,IF(ISNA(VLOOKUP($A98&amp;"_"&amp;AB$4,'2. หน้างบรายจ่าย'!$C:$K,7,0)),0,VLOOKUP($A98&amp;"_"&amp;AB$4,'2. หน้างบรายจ่าย'!$C:$K,7,0)))</f>
        <v>0</v>
      </c>
      <c r="AC98" s="251">
        <f>IF($C98="",0,IF(ISNA(VLOOKUP($A98&amp;"_"&amp;AC$4,'2. หน้างบรายจ่าย'!$C:$K,8,0)),0,VLOOKUP($A98&amp;"_"&amp;AC$4,'2. หน้างบรายจ่าย'!$C:$K,8,0)))</f>
        <v>0</v>
      </c>
      <c r="AD98" s="248">
        <f>IF($C98="",0,IF(ISNA(VLOOKUP($A98&amp;"_"&amp;AD$4,'2. หน้างบรายจ่าย'!$C:$K,9,0)),0,VLOOKUP($A98&amp;"_"&amp;AD$4,'2. หน้างบรายจ่าย'!$C:$K,9,0)))</f>
        <v>0</v>
      </c>
      <c r="AE98" s="246">
        <f>IF($C98="",0,IF(ISNA(VLOOKUP($A98&amp;"_"&amp;AE$4,'2. หน้างบรายจ่าย'!$C:$K,7,0)),0,VLOOKUP($A98&amp;"_"&amp;AE$4,'2. หน้างบรายจ่าย'!$C:$K,7,0)))</f>
        <v>0</v>
      </c>
      <c r="AF98" s="250">
        <f>IF($C98="",0,IF(ISNA(VLOOKUP($A98&amp;"_"&amp;AF$4,'2. หน้างบรายจ่าย'!$C:$K,8,0)),0,VLOOKUP($A98&amp;"_"&amp;AF$4,'2. หน้างบรายจ่าย'!$C:$K,8,0)))</f>
        <v>0</v>
      </c>
      <c r="AG98" s="248">
        <f>IF($C98="",0,IF(ISNA(VLOOKUP($A98&amp;"_"&amp;AG$4,'2. หน้างบรายจ่าย'!$C:$K,9,0)),0,VLOOKUP($A98&amp;"_"&amp;AG$4,'2. หน้างบรายจ่าย'!$C:$K,9,0)))</f>
        <v>0</v>
      </c>
      <c r="AH98" s="249">
        <f>IF($C98="",0,IF(ISNA(VLOOKUP($A98&amp;"_"&amp;AH$4,'2. หน้างบรายจ่าย'!$C:$K,7,0)),0,VLOOKUP($A98&amp;"_"&amp;AH$4,'2. หน้างบรายจ่าย'!$C:$K,7,0)))</f>
        <v>0</v>
      </c>
      <c r="AI98" s="250">
        <f>IF($C98="",0,IF(ISNA(VLOOKUP($A98&amp;"_"&amp;AI$4,'2. หน้างบรายจ่าย'!$C:$K,8,0)),0,VLOOKUP($A98&amp;"_"&amp;AI$4,'2. หน้างบรายจ่าย'!$C:$K,8,0)))</f>
        <v>0</v>
      </c>
      <c r="AJ98" s="248">
        <f>IF($C98="",0,IF(ISNA(VLOOKUP($A98&amp;"_"&amp;AJ$4,'2. หน้างบรายจ่าย'!$C:$K,9,0)),0,VLOOKUP($A98&amp;"_"&amp;AJ$4,'2. หน้างบรายจ่าย'!$C:$K,9,0)))</f>
        <v>0</v>
      </c>
      <c r="AK98" s="249">
        <f>IF($C98="",0,IF(ISNA(VLOOKUP($A98&amp;"_"&amp;AK$4,'2. หน้างบรายจ่าย'!$C:$K,7,0)),0,VLOOKUP($A98&amp;"_"&amp;AK$4,'2. หน้างบรายจ่าย'!$C:$K,7,0)))</f>
        <v>0</v>
      </c>
      <c r="AL98" s="250">
        <f>IF($C98="",0,IF(ISNA(VLOOKUP($A98&amp;"_"&amp;AL$4,'2. หน้างบรายจ่าย'!$C:$K,8,0)),0,VLOOKUP($A98&amp;"_"&amp;AL$4,'2. หน้างบรายจ่าย'!$C:$K,8,0)))</f>
        <v>0</v>
      </c>
      <c r="AM98" s="248">
        <f>IF($C98="",0,IF(ISNA(VLOOKUP($A98&amp;"_"&amp;AM$4,'2. หน้างบรายจ่าย'!$C:$K,9,0)),0,VLOOKUP($A98&amp;"_"&amp;AM$4,'2. หน้างบรายจ่าย'!$C:$K,9,0)))</f>
        <v>0</v>
      </c>
      <c r="AP98" s="171" t="str">
        <f t="shared" si="30"/>
        <v>No</v>
      </c>
    </row>
    <row r="99" spans="1:42" ht="25.5" hidden="1" customHeight="1">
      <c r="A99" s="210">
        <v>70</v>
      </c>
      <c r="B99" s="244" t="str">
        <f>IF(ISNA(VLOOKUP(A99,'2. หน้างบรายจ่าย'!$A:$K,4,0)),"",TEXT(VLOOKUP(A99,'2. หน้างบรายจ่าย'!$A:$K,4,0),"dd ดดด yy"))</f>
        <v/>
      </c>
      <c r="C99" s="245" t="str">
        <f>IF(ISNA(VLOOKUP(A99,'2. หน้างบรายจ่าย'!$A:$K,8,0)),"",VLOOKUP(A99,'2. หน้างบรายจ่าย'!$A:$K,8,0))</f>
        <v/>
      </c>
      <c r="D99" s="231">
        <f t="shared" si="22"/>
        <v>0</v>
      </c>
      <c r="E99" s="232">
        <f t="shared" si="23"/>
        <v>0</v>
      </c>
      <c r="F99" s="231">
        <f t="shared" si="24"/>
        <v>0</v>
      </c>
      <c r="G99" s="247">
        <f>IF($C99="",0,IF(ISNA(VLOOKUP($A99&amp;"_"&amp;G$4,'2. หน้างบรายจ่าย'!$C:$K,7,0)),0,VLOOKUP($A99&amp;"_"&amp;G$4,'2. หน้างบรายจ่าย'!$C:$K,7,0)))</f>
        <v>0</v>
      </c>
      <c r="H99" s="247">
        <f>IF($C99="",0,IF(ISNA(VLOOKUP($A99&amp;"_"&amp;H$4,'2. หน้างบรายจ่าย'!$C:$K,8,0)),0,VLOOKUP($A99&amp;"_"&amp;H$4,'2. หน้างบรายจ่าย'!$C:$K,8,0)))</f>
        <v>0</v>
      </c>
      <c r="I99" s="247">
        <f>IF($C99="",0,IF(ISNA(VLOOKUP($A99&amp;"_"&amp;I$4,'2. หน้างบรายจ่าย'!$C:$K,9,0)),0,VLOOKUP($A99&amp;"_"&amp;I$4,'2. หน้างบรายจ่าย'!$C:$K,9,0)))</f>
        <v>0</v>
      </c>
      <c r="J99" s="247">
        <f>IF($C99="",0,IF(ISNA(VLOOKUP($A99&amp;"_"&amp;J$4,'2. หน้างบรายจ่าย'!$C:$K,7,0)),0,VLOOKUP($A99&amp;"_"&amp;J$4,'2. หน้างบรายจ่าย'!$C:$K,7,0)))</f>
        <v>0</v>
      </c>
      <c r="K99" s="247">
        <f>IF($C99="",0,IF(ISNA(VLOOKUP($A99&amp;"_"&amp;K$4,'2. หน้างบรายจ่าย'!$C:$K,8,0)),0,VLOOKUP($A99&amp;"_"&amp;K$4,'2. หน้างบรายจ่าย'!$C:$K,8,0)))</f>
        <v>0</v>
      </c>
      <c r="L99" s="247">
        <f>IF($C99="",0,IF(ISNA(VLOOKUP($A99&amp;"_"&amp;L$4,'2. หน้างบรายจ่าย'!$C:$K,9,0)),0,VLOOKUP($A99&amp;"_"&amp;L$4,'2. หน้างบรายจ่าย'!$C:$K,9,0)))</f>
        <v>0</v>
      </c>
      <c r="M99" s="247">
        <f>IF($C99="",0,IF(ISNA(VLOOKUP($A99&amp;"_"&amp;M$4,'2. หน้างบรายจ่าย'!$C:$K,7,0)),0,VLOOKUP($A99&amp;"_"&amp;M$4,'2. หน้างบรายจ่าย'!$C:$K,7,0)))</f>
        <v>0</v>
      </c>
      <c r="N99" s="247">
        <f>IF($C99="",0,IF(ISNA(VLOOKUP($A99&amp;"_"&amp;N$4,'2. หน้างบรายจ่าย'!$C:$K,8,0)),0,VLOOKUP($A99&amp;"_"&amp;N$4,'2. หน้างบรายจ่าย'!$C:$K,8,0)))</f>
        <v>0</v>
      </c>
      <c r="O99" s="248">
        <f>IF($C99="",0,IF(ISNA(VLOOKUP($A99&amp;"_"&amp;O$4,'2. หน้างบรายจ่าย'!$C:$K,9,0)),0,VLOOKUP($A99&amp;"_"&amp;O$4,'2. หน้างบรายจ่าย'!$C:$K,9,0)))</f>
        <v>0</v>
      </c>
      <c r="P99" s="246">
        <f>IF($C99="",0,IF(ISNA(VLOOKUP($A99&amp;"_"&amp;P$4,'2. หน้างบรายจ่าย'!$C:$K,7,0)),0,VLOOKUP($A99&amp;"_"&amp;P$4,'2. หน้างบรายจ่าย'!$C:$K,7,0)))</f>
        <v>0</v>
      </c>
      <c r="Q99" s="249">
        <f>IF($C99="",0,IF(ISNA(VLOOKUP($A99&amp;"_"&amp;Q$4,'2. หน้างบรายจ่าย'!$C:$K,8,0)),0,VLOOKUP($A99&amp;"_"&amp;Q$4,'2. หน้างบรายจ่าย'!$C:$K,8,0)))</f>
        <v>0</v>
      </c>
      <c r="R99" s="247">
        <f>IF($C99="",0,IF(ISNA(VLOOKUP($A99&amp;"_"&amp;R$4,'2. หน้างบรายจ่าย'!$C:$K,9,0)),0,VLOOKUP($A99&amp;"_"&amp;R$4,'2. หน้างบรายจ่าย'!$C:$K,9,0)))</f>
        <v>0</v>
      </c>
      <c r="S99" s="247">
        <f>IF($C99="",0,IF(ISNA(VLOOKUP($A99&amp;"_"&amp;S$4,'2. หน้างบรายจ่าย'!$C:$K,7,0)),0,VLOOKUP($A99&amp;"_"&amp;S$4,'2. หน้างบรายจ่าย'!$C:$K,7,0)))</f>
        <v>0</v>
      </c>
      <c r="T99" s="247">
        <f>IF($C99="",0,IF(ISNA(VLOOKUP($A99&amp;"_"&amp;T$4,'2. หน้างบรายจ่าย'!$C:$K,8,0)),0,VLOOKUP($A99&amp;"_"&amp;T$4,'2. หน้างบรายจ่าย'!$C:$K,8,0)))</f>
        <v>0</v>
      </c>
      <c r="U99" s="247">
        <f>IF($C99="",0,IF(ISNA(VLOOKUP($A99&amp;"_"&amp;U$4,'2. หน้างบรายจ่าย'!$C:$K,9,0)),0,VLOOKUP($A99&amp;"_"&amp;U$4,'2. หน้างบรายจ่าย'!$C:$K,9,0)))</f>
        <v>0</v>
      </c>
      <c r="V99" s="247">
        <f>IF($C99="",0,IF(ISNA(VLOOKUP($A99&amp;"_"&amp;V$4,'2. หน้างบรายจ่าย'!$C:$K,7,0)),0,VLOOKUP($A99&amp;"_"&amp;V$4,'2. หน้างบรายจ่าย'!$C:$K,7,0)))</f>
        <v>0</v>
      </c>
      <c r="W99" s="247">
        <f>IF($C99="",0,IF(ISNA(VLOOKUP($A99&amp;"_"&amp;W$4,'2. หน้างบรายจ่าย'!$C:$K,8,0)),0,VLOOKUP($A99&amp;"_"&amp;W$4,'2. หน้างบรายจ่าย'!$C:$K,8,0)))</f>
        <v>0</v>
      </c>
      <c r="X99" s="247">
        <f>IF($C99="",0,IF(ISNA(VLOOKUP($A99&amp;"_"&amp;X$4,'2. หน้างบรายจ่าย'!$C:$K,9,0)),0,VLOOKUP($A99&amp;"_"&amp;X$4,'2. หน้างบรายจ่าย'!$C:$K,9,0)))</f>
        <v>0</v>
      </c>
      <c r="Y99" s="247">
        <f>IF($C99="",0,IF(ISNA(VLOOKUP($A99&amp;"_"&amp;Y$4,'2. หน้างบรายจ่าย'!$C:$K,7,0)),0,VLOOKUP($A99&amp;"_"&amp;Y$4,'2. หน้างบรายจ่าย'!$C:$K,7,0)))</f>
        <v>0</v>
      </c>
      <c r="Z99" s="247">
        <f>IF($C99="",0,IF(ISNA(VLOOKUP($A99&amp;"_"&amp;Z$4,'2. หน้างบรายจ่าย'!$C:$K,8,0)),0,VLOOKUP($A99&amp;"_"&amp;Z$4,'2. หน้างบรายจ่าย'!$C:$K,8,0)))</f>
        <v>0</v>
      </c>
      <c r="AA99" s="247">
        <f>IF($C99="",0,IF(ISNA(VLOOKUP($A99&amp;"_"&amp;AA$4,'2. หน้างบรายจ่าย'!$C:$K,9,0)),0,VLOOKUP($A99&amp;"_"&amp;AA$4,'2. หน้างบรายจ่าย'!$C:$K,9,0)))</f>
        <v>0</v>
      </c>
      <c r="AB99" s="247">
        <f>IF($C99="",0,IF(ISNA(VLOOKUP($A99&amp;"_"&amp;AB$4,'2. หน้างบรายจ่าย'!$C:$K,7,0)),0,VLOOKUP($A99&amp;"_"&amp;AB$4,'2. หน้างบรายจ่าย'!$C:$K,7,0)))</f>
        <v>0</v>
      </c>
      <c r="AC99" s="251">
        <f>IF($C99="",0,IF(ISNA(VLOOKUP($A99&amp;"_"&amp;AC$4,'2. หน้างบรายจ่าย'!$C:$K,8,0)),0,VLOOKUP($A99&amp;"_"&amp;AC$4,'2. หน้างบรายจ่าย'!$C:$K,8,0)))</f>
        <v>0</v>
      </c>
      <c r="AD99" s="248">
        <f>IF($C99="",0,IF(ISNA(VLOOKUP($A99&amp;"_"&amp;AD$4,'2. หน้างบรายจ่าย'!$C:$K,9,0)),0,VLOOKUP($A99&amp;"_"&amp;AD$4,'2. หน้างบรายจ่าย'!$C:$K,9,0)))</f>
        <v>0</v>
      </c>
      <c r="AE99" s="246">
        <f>IF($C99="",0,IF(ISNA(VLOOKUP($A99&amp;"_"&amp;AE$4,'2. หน้างบรายจ่าย'!$C:$K,7,0)),0,VLOOKUP($A99&amp;"_"&amp;AE$4,'2. หน้างบรายจ่าย'!$C:$K,7,0)))</f>
        <v>0</v>
      </c>
      <c r="AF99" s="250">
        <f>IF($C99="",0,IF(ISNA(VLOOKUP($A99&amp;"_"&amp;AF$4,'2. หน้างบรายจ่าย'!$C:$K,8,0)),0,VLOOKUP($A99&amp;"_"&amp;AF$4,'2. หน้างบรายจ่าย'!$C:$K,8,0)))</f>
        <v>0</v>
      </c>
      <c r="AG99" s="248">
        <f>IF($C99="",0,IF(ISNA(VLOOKUP($A99&amp;"_"&amp;AG$4,'2. หน้างบรายจ่าย'!$C:$K,9,0)),0,VLOOKUP($A99&amp;"_"&amp;AG$4,'2. หน้างบรายจ่าย'!$C:$K,9,0)))</f>
        <v>0</v>
      </c>
      <c r="AH99" s="249">
        <f>IF($C99="",0,IF(ISNA(VLOOKUP($A99&amp;"_"&amp;AH$4,'2. หน้างบรายจ่าย'!$C:$K,7,0)),0,VLOOKUP($A99&amp;"_"&amp;AH$4,'2. หน้างบรายจ่าย'!$C:$K,7,0)))</f>
        <v>0</v>
      </c>
      <c r="AI99" s="250">
        <f>IF($C99="",0,IF(ISNA(VLOOKUP($A99&amp;"_"&amp;AI$4,'2. หน้างบรายจ่าย'!$C:$K,8,0)),0,VLOOKUP($A99&amp;"_"&amp;AI$4,'2. หน้างบรายจ่าย'!$C:$K,8,0)))</f>
        <v>0</v>
      </c>
      <c r="AJ99" s="248">
        <f>IF($C99="",0,IF(ISNA(VLOOKUP($A99&amp;"_"&amp;AJ$4,'2. หน้างบรายจ่าย'!$C:$K,9,0)),0,VLOOKUP($A99&amp;"_"&amp;AJ$4,'2. หน้างบรายจ่าย'!$C:$K,9,0)))</f>
        <v>0</v>
      </c>
      <c r="AK99" s="249">
        <f>IF($C99="",0,IF(ISNA(VLOOKUP($A99&amp;"_"&amp;AK$4,'2. หน้างบรายจ่าย'!$C:$K,7,0)),0,VLOOKUP($A99&amp;"_"&amp;AK$4,'2. หน้างบรายจ่าย'!$C:$K,7,0)))</f>
        <v>0</v>
      </c>
      <c r="AL99" s="250">
        <f>IF($C99="",0,IF(ISNA(VLOOKUP($A99&amp;"_"&amp;AL$4,'2. หน้างบรายจ่าย'!$C:$K,8,0)),0,VLOOKUP($A99&amp;"_"&amp;AL$4,'2. หน้างบรายจ่าย'!$C:$K,8,0)))</f>
        <v>0</v>
      </c>
      <c r="AM99" s="248">
        <f>IF($C99="",0,IF(ISNA(VLOOKUP($A99&amp;"_"&amp;AM$4,'2. หน้างบรายจ่าย'!$C:$K,9,0)),0,VLOOKUP($A99&amp;"_"&amp;AM$4,'2. หน้างบรายจ่าย'!$C:$K,9,0)))</f>
        <v>0</v>
      </c>
      <c r="AP99" s="171" t="str">
        <f t="shared" si="30"/>
        <v>No</v>
      </c>
    </row>
    <row r="100" spans="1:42" ht="25.5" customHeight="1">
      <c r="B100" s="252"/>
      <c r="C100" s="253" t="s">
        <v>68</v>
      </c>
      <c r="D100" s="254">
        <f t="shared" ref="D100:AM100" si="31">D9+D10+D19-D29</f>
        <v>0</v>
      </c>
      <c r="E100" s="255">
        <f t="shared" ref="E100:F100" si="32">E9+E10+E19-E29</f>
        <v>272538.90000000002</v>
      </c>
      <c r="F100" s="254">
        <f t="shared" si="32"/>
        <v>6063641.2400000002</v>
      </c>
      <c r="G100" s="254">
        <f t="shared" si="31"/>
        <v>0</v>
      </c>
      <c r="H100" s="254">
        <f t="shared" si="31"/>
        <v>10193.75</v>
      </c>
      <c r="I100" s="254">
        <f t="shared" si="31"/>
        <v>0</v>
      </c>
      <c r="J100" s="254">
        <f t="shared" si="31"/>
        <v>0</v>
      </c>
      <c r="K100" s="254">
        <f t="shared" si="31"/>
        <v>2157.92</v>
      </c>
      <c r="L100" s="254">
        <f t="shared" si="31"/>
        <v>0</v>
      </c>
      <c r="M100" s="254">
        <f t="shared" si="31"/>
        <v>0</v>
      </c>
      <c r="N100" s="254">
        <f t="shared" si="31"/>
        <v>50779.62</v>
      </c>
      <c r="O100" s="258">
        <f t="shared" si="31"/>
        <v>47829.14</v>
      </c>
      <c r="P100" s="256">
        <f t="shared" si="31"/>
        <v>0</v>
      </c>
      <c r="Q100" s="257">
        <f t="shared" si="31"/>
        <v>0</v>
      </c>
      <c r="R100" s="254">
        <f t="shared" si="31"/>
        <v>-1702.61</v>
      </c>
      <c r="S100" s="254">
        <f t="shared" ref="S100:U100" si="33">S9+S10+S19-S29</f>
        <v>0</v>
      </c>
      <c r="T100" s="254">
        <f t="shared" si="33"/>
        <v>0</v>
      </c>
      <c r="U100" s="254">
        <f t="shared" si="33"/>
        <v>0</v>
      </c>
      <c r="V100" s="254">
        <f t="shared" si="31"/>
        <v>0</v>
      </c>
      <c r="W100" s="254">
        <f t="shared" si="31"/>
        <v>0</v>
      </c>
      <c r="X100" s="254">
        <f t="shared" si="31"/>
        <v>264047.15000000002</v>
      </c>
      <c r="Y100" s="254">
        <f t="shared" si="31"/>
        <v>0</v>
      </c>
      <c r="Z100" s="254">
        <f t="shared" si="31"/>
        <v>0</v>
      </c>
      <c r="AA100" s="254">
        <f t="shared" si="31"/>
        <v>55075.44</v>
      </c>
      <c r="AB100" s="254">
        <f t="shared" si="31"/>
        <v>0</v>
      </c>
      <c r="AC100" s="255">
        <f t="shared" si="31"/>
        <v>0</v>
      </c>
      <c r="AD100" s="258">
        <f t="shared" si="31"/>
        <v>46093.490000000005</v>
      </c>
      <c r="AE100" s="256">
        <f t="shared" si="31"/>
        <v>0</v>
      </c>
      <c r="AF100" s="259">
        <f t="shared" si="31"/>
        <v>1294.9000000000001</v>
      </c>
      <c r="AG100" s="258">
        <f t="shared" si="31"/>
        <v>0</v>
      </c>
      <c r="AH100" s="257">
        <f t="shared" si="31"/>
        <v>0</v>
      </c>
      <c r="AI100" s="259">
        <f t="shared" si="31"/>
        <v>0</v>
      </c>
      <c r="AJ100" s="258">
        <f t="shared" si="31"/>
        <v>187163.58</v>
      </c>
      <c r="AK100" s="257">
        <f t="shared" si="31"/>
        <v>0</v>
      </c>
      <c r="AL100" s="259">
        <f t="shared" si="31"/>
        <v>208112.71</v>
      </c>
      <c r="AM100" s="258">
        <f t="shared" si="31"/>
        <v>5465135.0499999998</v>
      </c>
      <c r="AO100" s="169" t="s">
        <v>42</v>
      </c>
      <c r="AP100" s="171" t="str">
        <f t="shared" si="30"/>
        <v>Yes</v>
      </c>
    </row>
    <row r="101" spans="1:42" ht="25.5" customHeight="1">
      <c r="B101" s="241"/>
      <c r="C101" s="242" t="s">
        <v>69</v>
      </c>
      <c r="D101" s="225">
        <f>SUM(D102:D107)</f>
        <v>0</v>
      </c>
      <c r="E101" s="226">
        <f t="shared" ref="E101:F101" si="34">SUM(E102:E107)</f>
        <v>0</v>
      </c>
      <c r="F101" s="225">
        <f t="shared" si="34"/>
        <v>0</v>
      </c>
      <c r="G101" s="225">
        <f t="shared" ref="G101:AM101" si="35">SUM(G102:G107)</f>
        <v>0</v>
      </c>
      <c r="H101" s="225">
        <f t="shared" si="35"/>
        <v>0</v>
      </c>
      <c r="I101" s="225">
        <f t="shared" si="35"/>
        <v>0</v>
      </c>
      <c r="J101" s="225">
        <f t="shared" si="35"/>
        <v>0</v>
      </c>
      <c r="K101" s="225">
        <f t="shared" si="35"/>
        <v>0</v>
      </c>
      <c r="L101" s="225">
        <f t="shared" si="35"/>
        <v>0</v>
      </c>
      <c r="M101" s="225">
        <f t="shared" si="35"/>
        <v>0</v>
      </c>
      <c r="N101" s="225">
        <f t="shared" si="35"/>
        <v>0</v>
      </c>
      <c r="O101" s="228">
        <f t="shared" si="35"/>
        <v>0</v>
      </c>
      <c r="P101" s="227">
        <f t="shared" si="35"/>
        <v>0</v>
      </c>
      <c r="Q101" s="229">
        <f t="shared" si="35"/>
        <v>0</v>
      </c>
      <c r="R101" s="225">
        <f t="shared" si="35"/>
        <v>0</v>
      </c>
      <c r="S101" s="225">
        <f t="shared" ref="S101:U101" si="36">SUM(S102:S107)</f>
        <v>0</v>
      </c>
      <c r="T101" s="225">
        <f t="shared" si="36"/>
        <v>0</v>
      </c>
      <c r="U101" s="225">
        <f t="shared" si="36"/>
        <v>0</v>
      </c>
      <c r="V101" s="225">
        <f t="shared" si="35"/>
        <v>0</v>
      </c>
      <c r="W101" s="225">
        <f t="shared" si="35"/>
        <v>0</v>
      </c>
      <c r="X101" s="225">
        <f t="shared" si="35"/>
        <v>0</v>
      </c>
      <c r="Y101" s="225">
        <f t="shared" si="35"/>
        <v>0</v>
      </c>
      <c r="Z101" s="225">
        <f t="shared" si="35"/>
        <v>0</v>
      </c>
      <c r="AA101" s="225">
        <f t="shared" si="35"/>
        <v>0</v>
      </c>
      <c r="AB101" s="225">
        <f t="shared" si="35"/>
        <v>0</v>
      </c>
      <c r="AC101" s="226">
        <f t="shared" si="35"/>
        <v>0</v>
      </c>
      <c r="AD101" s="228">
        <f t="shared" si="35"/>
        <v>0</v>
      </c>
      <c r="AE101" s="227">
        <f t="shared" si="35"/>
        <v>0</v>
      </c>
      <c r="AF101" s="230">
        <f t="shared" si="35"/>
        <v>0</v>
      </c>
      <c r="AG101" s="228">
        <f t="shared" si="35"/>
        <v>0</v>
      </c>
      <c r="AH101" s="229">
        <f t="shared" si="35"/>
        <v>0</v>
      </c>
      <c r="AI101" s="230">
        <f t="shared" si="35"/>
        <v>0</v>
      </c>
      <c r="AJ101" s="228">
        <f t="shared" si="35"/>
        <v>0</v>
      </c>
      <c r="AK101" s="229">
        <f t="shared" si="35"/>
        <v>0</v>
      </c>
      <c r="AL101" s="230">
        <f t="shared" si="35"/>
        <v>0</v>
      </c>
      <c r="AM101" s="228">
        <f t="shared" si="35"/>
        <v>0</v>
      </c>
      <c r="AO101" s="169" t="s">
        <v>42</v>
      </c>
      <c r="AP101" s="171" t="str">
        <f t="shared" si="30"/>
        <v>Yes</v>
      </c>
    </row>
    <row r="102" spans="1:42" ht="25.5" hidden="1" customHeight="1">
      <c r="B102" s="234"/>
      <c r="C102" s="126" t="s">
        <v>66</v>
      </c>
      <c r="D102" s="231">
        <f t="shared" ref="D102:D107" si="37">G102+J102+M102+P102+S102+Y102+AB102+AE102+AH102+AK102+V102</f>
        <v>0</v>
      </c>
      <c r="E102" s="232">
        <f t="shared" ref="E102:E107" si="38">H102+K102+N102+Q102+T102+Z102+AC102+AF102+AI102+AL102+W102</f>
        <v>0</v>
      </c>
      <c r="F102" s="231">
        <f t="shared" ref="F102:F107" si="39">I102+L102+O102+R102+U102+AA102+AD102+AG102+AJ102+AM102+X102</f>
        <v>0</v>
      </c>
      <c r="G102" s="236"/>
      <c r="H102" s="236"/>
      <c r="I102" s="236"/>
      <c r="J102" s="236"/>
      <c r="K102" s="236"/>
      <c r="L102" s="236"/>
      <c r="M102" s="236"/>
      <c r="N102" s="236"/>
      <c r="O102" s="238"/>
      <c r="P102" s="235"/>
      <c r="Q102" s="239"/>
      <c r="R102" s="236"/>
      <c r="S102" s="236"/>
      <c r="T102" s="236"/>
      <c r="U102" s="236"/>
      <c r="V102" s="236"/>
      <c r="W102" s="236"/>
      <c r="X102" s="236"/>
      <c r="Y102" s="236"/>
      <c r="Z102" s="236"/>
      <c r="AA102" s="236"/>
      <c r="AB102" s="236"/>
      <c r="AC102" s="237"/>
      <c r="AD102" s="238"/>
      <c r="AE102" s="235"/>
      <c r="AF102" s="240"/>
      <c r="AG102" s="238"/>
      <c r="AH102" s="239"/>
      <c r="AI102" s="240"/>
      <c r="AJ102" s="238"/>
      <c r="AK102" s="239"/>
      <c r="AL102" s="240"/>
      <c r="AM102" s="238"/>
      <c r="AO102" s="169" t="s">
        <v>42</v>
      </c>
      <c r="AP102" s="171" t="str">
        <f t="shared" si="30"/>
        <v>Yes</v>
      </c>
    </row>
    <row r="103" spans="1:42" ht="25.5" hidden="1" customHeight="1">
      <c r="B103" s="234"/>
      <c r="C103" s="126" t="s">
        <v>66</v>
      </c>
      <c r="D103" s="231">
        <f t="shared" si="37"/>
        <v>0</v>
      </c>
      <c r="E103" s="232">
        <f t="shared" si="38"/>
        <v>0</v>
      </c>
      <c r="F103" s="231">
        <f t="shared" si="39"/>
        <v>0</v>
      </c>
      <c r="G103" s="236"/>
      <c r="H103" s="236"/>
      <c r="I103" s="236"/>
      <c r="J103" s="236"/>
      <c r="K103" s="236"/>
      <c r="L103" s="236"/>
      <c r="M103" s="236"/>
      <c r="N103" s="236"/>
      <c r="O103" s="238"/>
      <c r="P103" s="235"/>
      <c r="Q103" s="239"/>
      <c r="R103" s="236"/>
      <c r="S103" s="236"/>
      <c r="T103" s="236"/>
      <c r="U103" s="236"/>
      <c r="V103" s="236"/>
      <c r="W103" s="236"/>
      <c r="X103" s="236"/>
      <c r="Y103" s="236"/>
      <c r="Z103" s="236"/>
      <c r="AA103" s="236"/>
      <c r="AB103" s="236"/>
      <c r="AC103" s="237"/>
      <c r="AD103" s="238"/>
      <c r="AE103" s="235"/>
      <c r="AF103" s="240"/>
      <c r="AG103" s="238"/>
      <c r="AH103" s="239"/>
      <c r="AI103" s="240"/>
      <c r="AJ103" s="238"/>
      <c r="AK103" s="239"/>
      <c r="AL103" s="240"/>
      <c r="AM103" s="238"/>
      <c r="AO103" s="169" t="s">
        <v>42</v>
      </c>
      <c r="AP103" s="171" t="str">
        <f t="shared" si="30"/>
        <v>Yes</v>
      </c>
    </row>
    <row r="104" spans="1:42" ht="25.5" hidden="1" customHeight="1">
      <c r="B104" s="234"/>
      <c r="C104" s="126" t="s">
        <v>66</v>
      </c>
      <c r="D104" s="231">
        <f t="shared" si="37"/>
        <v>0</v>
      </c>
      <c r="E104" s="232">
        <f t="shared" si="38"/>
        <v>0</v>
      </c>
      <c r="F104" s="231">
        <f t="shared" si="39"/>
        <v>0</v>
      </c>
      <c r="G104" s="236"/>
      <c r="H104" s="236"/>
      <c r="I104" s="236"/>
      <c r="J104" s="236"/>
      <c r="K104" s="236"/>
      <c r="L104" s="236"/>
      <c r="M104" s="236"/>
      <c r="N104" s="236"/>
      <c r="O104" s="238"/>
      <c r="P104" s="235"/>
      <c r="Q104" s="239"/>
      <c r="R104" s="236"/>
      <c r="S104" s="236"/>
      <c r="T104" s="236"/>
      <c r="U104" s="236"/>
      <c r="V104" s="236"/>
      <c r="W104" s="236"/>
      <c r="X104" s="236"/>
      <c r="Y104" s="236"/>
      <c r="Z104" s="236"/>
      <c r="AA104" s="236"/>
      <c r="AB104" s="236"/>
      <c r="AC104" s="237"/>
      <c r="AD104" s="238"/>
      <c r="AE104" s="235"/>
      <c r="AF104" s="240"/>
      <c r="AG104" s="238"/>
      <c r="AH104" s="239"/>
      <c r="AI104" s="240"/>
      <c r="AJ104" s="238"/>
      <c r="AK104" s="239"/>
      <c r="AL104" s="240"/>
      <c r="AM104" s="238"/>
      <c r="AO104" s="169"/>
      <c r="AP104" s="171"/>
    </row>
    <row r="105" spans="1:42" ht="25.5" hidden="1" customHeight="1">
      <c r="B105" s="234"/>
      <c r="C105" s="126" t="s">
        <v>66</v>
      </c>
      <c r="D105" s="231">
        <f t="shared" si="37"/>
        <v>0</v>
      </c>
      <c r="E105" s="232">
        <f t="shared" si="38"/>
        <v>0</v>
      </c>
      <c r="F105" s="231">
        <f t="shared" si="39"/>
        <v>0</v>
      </c>
      <c r="G105" s="236"/>
      <c r="H105" s="236"/>
      <c r="I105" s="236"/>
      <c r="J105" s="236"/>
      <c r="K105" s="236"/>
      <c r="L105" s="236"/>
      <c r="M105" s="236"/>
      <c r="N105" s="236"/>
      <c r="O105" s="238"/>
      <c r="P105" s="235"/>
      <c r="Q105" s="239"/>
      <c r="R105" s="236"/>
      <c r="S105" s="236"/>
      <c r="T105" s="236"/>
      <c r="U105" s="236"/>
      <c r="V105" s="236"/>
      <c r="W105" s="236"/>
      <c r="X105" s="236"/>
      <c r="Y105" s="236"/>
      <c r="Z105" s="236"/>
      <c r="AA105" s="236"/>
      <c r="AB105" s="236"/>
      <c r="AC105" s="237"/>
      <c r="AD105" s="238"/>
      <c r="AE105" s="235"/>
      <c r="AF105" s="240"/>
      <c r="AG105" s="238"/>
      <c r="AH105" s="239"/>
      <c r="AI105" s="240"/>
      <c r="AJ105" s="238"/>
      <c r="AK105" s="239"/>
      <c r="AL105" s="240"/>
      <c r="AM105" s="238"/>
      <c r="AO105" s="169"/>
      <c r="AP105" s="171"/>
    </row>
    <row r="106" spans="1:42" ht="25.5" hidden="1" customHeight="1">
      <c r="B106" s="234"/>
      <c r="C106" s="126" t="s">
        <v>66</v>
      </c>
      <c r="D106" s="231">
        <f t="shared" si="37"/>
        <v>0</v>
      </c>
      <c r="E106" s="232">
        <f t="shared" si="38"/>
        <v>0</v>
      </c>
      <c r="F106" s="231">
        <f t="shared" si="39"/>
        <v>0</v>
      </c>
      <c r="G106" s="236"/>
      <c r="H106" s="236"/>
      <c r="I106" s="236"/>
      <c r="J106" s="236"/>
      <c r="K106" s="236"/>
      <c r="L106" s="236"/>
      <c r="M106" s="236"/>
      <c r="N106" s="236"/>
      <c r="O106" s="238"/>
      <c r="P106" s="235"/>
      <c r="Q106" s="239"/>
      <c r="R106" s="236"/>
      <c r="S106" s="236"/>
      <c r="T106" s="236"/>
      <c r="U106" s="236"/>
      <c r="V106" s="236"/>
      <c r="W106" s="236"/>
      <c r="X106" s="236"/>
      <c r="Y106" s="236"/>
      <c r="Z106" s="236"/>
      <c r="AA106" s="236"/>
      <c r="AB106" s="236"/>
      <c r="AC106" s="237"/>
      <c r="AD106" s="238"/>
      <c r="AE106" s="235"/>
      <c r="AF106" s="240"/>
      <c r="AG106" s="238"/>
      <c r="AH106" s="239"/>
      <c r="AI106" s="240"/>
      <c r="AJ106" s="238"/>
      <c r="AK106" s="239"/>
      <c r="AL106" s="240"/>
      <c r="AM106" s="238"/>
      <c r="AO106" s="169" t="s">
        <v>42</v>
      </c>
      <c r="AP106" s="171" t="str">
        <f t="shared" si="30"/>
        <v>Yes</v>
      </c>
    </row>
    <row r="107" spans="1:42" ht="25.5" hidden="1" customHeight="1">
      <c r="B107" s="234"/>
      <c r="C107" s="126" t="s">
        <v>66</v>
      </c>
      <c r="D107" s="231">
        <f t="shared" si="37"/>
        <v>0</v>
      </c>
      <c r="E107" s="232">
        <f t="shared" si="38"/>
        <v>0</v>
      </c>
      <c r="F107" s="231">
        <f t="shared" si="39"/>
        <v>0</v>
      </c>
      <c r="G107" s="236"/>
      <c r="H107" s="236"/>
      <c r="I107" s="236"/>
      <c r="J107" s="236"/>
      <c r="K107" s="236"/>
      <c r="L107" s="236"/>
      <c r="M107" s="236"/>
      <c r="N107" s="236"/>
      <c r="O107" s="238"/>
      <c r="P107" s="235"/>
      <c r="Q107" s="239"/>
      <c r="R107" s="236"/>
      <c r="S107" s="236"/>
      <c r="T107" s="236"/>
      <c r="U107" s="236"/>
      <c r="V107" s="236"/>
      <c r="W107" s="236"/>
      <c r="X107" s="236"/>
      <c r="Y107" s="236"/>
      <c r="Z107" s="236"/>
      <c r="AA107" s="236"/>
      <c r="AB107" s="236"/>
      <c r="AC107" s="237"/>
      <c r="AD107" s="238"/>
      <c r="AE107" s="235"/>
      <c r="AF107" s="240"/>
      <c r="AG107" s="238"/>
      <c r="AH107" s="239"/>
      <c r="AI107" s="240"/>
      <c r="AJ107" s="238"/>
      <c r="AK107" s="239"/>
      <c r="AL107" s="240"/>
      <c r="AM107" s="238"/>
      <c r="AO107" s="169" t="s">
        <v>42</v>
      </c>
      <c r="AP107" s="171" t="str">
        <f t="shared" si="30"/>
        <v>Yes</v>
      </c>
    </row>
    <row r="108" spans="1:42" ht="25.5" customHeight="1" thickBot="1">
      <c r="B108" s="241"/>
      <c r="C108" s="242" t="s">
        <v>70</v>
      </c>
      <c r="D108" s="225">
        <f>SUM(D109:D117)</f>
        <v>0</v>
      </c>
      <c r="E108" s="226">
        <f t="shared" ref="E108:F108" si="40">SUM(E109:E117)</f>
        <v>0</v>
      </c>
      <c r="F108" s="225">
        <f t="shared" si="40"/>
        <v>0</v>
      </c>
      <c r="G108" s="225">
        <f t="shared" ref="G108:I108" si="41">SUM(G109:G117)</f>
        <v>0</v>
      </c>
      <c r="H108" s="225">
        <f t="shared" si="41"/>
        <v>0</v>
      </c>
      <c r="I108" s="225">
        <f t="shared" si="41"/>
        <v>0</v>
      </c>
      <c r="J108" s="225">
        <f t="shared" ref="J108:AM108" si="42">SUM(J109:J117)</f>
        <v>0</v>
      </c>
      <c r="K108" s="225">
        <f t="shared" si="42"/>
        <v>0</v>
      </c>
      <c r="L108" s="225">
        <f t="shared" si="42"/>
        <v>0</v>
      </c>
      <c r="M108" s="225">
        <f t="shared" si="42"/>
        <v>0</v>
      </c>
      <c r="N108" s="225">
        <f t="shared" si="42"/>
        <v>0</v>
      </c>
      <c r="O108" s="228">
        <f t="shared" si="42"/>
        <v>0</v>
      </c>
      <c r="P108" s="227">
        <f t="shared" si="42"/>
        <v>0</v>
      </c>
      <c r="Q108" s="229">
        <f t="shared" si="42"/>
        <v>0</v>
      </c>
      <c r="R108" s="225">
        <f t="shared" si="42"/>
        <v>0</v>
      </c>
      <c r="S108" s="225">
        <f t="shared" ref="S108:U108" si="43">SUM(S109:S117)</f>
        <v>0</v>
      </c>
      <c r="T108" s="225">
        <f t="shared" si="43"/>
        <v>0</v>
      </c>
      <c r="U108" s="225">
        <f t="shared" si="43"/>
        <v>0</v>
      </c>
      <c r="V108" s="225">
        <f t="shared" si="42"/>
        <v>0</v>
      </c>
      <c r="W108" s="225">
        <f t="shared" si="42"/>
        <v>0</v>
      </c>
      <c r="X108" s="225">
        <f t="shared" si="42"/>
        <v>0</v>
      </c>
      <c r="Y108" s="225">
        <f t="shared" si="42"/>
        <v>0</v>
      </c>
      <c r="Z108" s="225">
        <f t="shared" si="42"/>
        <v>0</v>
      </c>
      <c r="AA108" s="225">
        <f t="shared" si="42"/>
        <v>0</v>
      </c>
      <c r="AB108" s="225">
        <f t="shared" si="42"/>
        <v>0</v>
      </c>
      <c r="AC108" s="226">
        <f t="shared" si="42"/>
        <v>0</v>
      </c>
      <c r="AD108" s="228">
        <f t="shared" si="42"/>
        <v>0</v>
      </c>
      <c r="AE108" s="227">
        <f t="shared" si="42"/>
        <v>0</v>
      </c>
      <c r="AF108" s="230">
        <f t="shared" si="42"/>
        <v>0</v>
      </c>
      <c r="AG108" s="228">
        <f t="shared" si="42"/>
        <v>0</v>
      </c>
      <c r="AH108" s="229">
        <f t="shared" si="42"/>
        <v>0</v>
      </c>
      <c r="AI108" s="230">
        <f t="shared" si="42"/>
        <v>0</v>
      </c>
      <c r="AJ108" s="228">
        <f t="shared" si="42"/>
        <v>0</v>
      </c>
      <c r="AK108" s="229">
        <f t="shared" si="42"/>
        <v>0</v>
      </c>
      <c r="AL108" s="230">
        <f t="shared" si="42"/>
        <v>0</v>
      </c>
      <c r="AM108" s="228">
        <f t="shared" si="42"/>
        <v>0</v>
      </c>
      <c r="AO108" s="169" t="s">
        <v>42</v>
      </c>
      <c r="AP108" s="171" t="str">
        <f t="shared" si="30"/>
        <v>Yes</v>
      </c>
    </row>
    <row r="109" spans="1:42" ht="25.5" hidden="1" customHeight="1">
      <c r="B109" s="234"/>
      <c r="C109" s="126" t="s">
        <v>71</v>
      </c>
      <c r="D109" s="231">
        <f t="shared" ref="D109:D117" si="44">G109+J109+M109+P109+S109+Y109+AB109+AE109+AH109+AK109+V109</f>
        <v>0</v>
      </c>
      <c r="E109" s="232">
        <f t="shared" ref="E109:E117" si="45">H109+K109+N109+Q109+T109+Z109+AC109+AF109+AI109+AL109+W109</f>
        <v>0</v>
      </c>
      <c r="F109" s="231">
        <f t="shared" ref="F109:F117" si="46">I109+L109+O109+R109+U109+AA109+AD109+AG109+AJ109+AM109+X109</f>
        <v>0</v>
      </c>
      <c r="G109" s="236"/>
      <c r="H109" s="236"/>
      <c r="I109" s="236"/>
      <c r="J109" s="236"/>
      <c r="K109" s="237"/>
      <c r="L109" s="238"/>
      <c r="M109" s="239"/>
      <c r="N109" s="240"/>
      <c r="O109" s="238"/>
      <c r="P109" s="235"/>
      <c r="Q109" s="239"/>
      <c r="R109" s="236"/>
      <c r="S109" s="236"/>
      <c r="T109" s="236"/>
      <c r="U109" s="236"/>
      <c r="V109" s="236"/>
      <c r="W109" s="236"/>
      <c r="X109" s="236"/>
      <c r="Y109" s="236"/>
      <c r="Z109" s="236"/>
      <c r="AA109" s="236"/>
      <c r="AB109" s="236"/>
      <c r="AC109" s="237"/>
      <c r="AD109" s="238"/>
      <c r="AE109" s="235"/>
      <c r="AF109" s="240"/>
      <c r="AG109" s="238"/>
      <c r="AH109" s="239"/>
      <c r="AI109" s="240"/>
      <c r="AJ109" s="238"/>
      <c r="AK109" s="239"/>
      <c r="AL109" s="240"/>
      <c r="AM109" s="238"/>
      <c r="AO109" s="169" t="s">
        <v>42</v>
      </c>
      <c r="AP109" s="171" t="str">
        <f t="shared" si="30"/>
        <v>Yes</v>
      </c>
    </row>
    <row r="110" spans="1:42" ht="25.5" hidden="1" customHeight="1">
      <c r="B110" s="234"/>
      <c r="C110" s="126" t="s">
        <v>72</v>
      </c>
      <c r="D110" s="231">
        <f t="shared" si="44"/>
        <v>0</v>
      </c>
      <c r="E110" s="232">
        <f t="shared" si="45"/>
        <v>0</v>
      </c>
      <c r="F110" s="231">
        <f t="shared" si="46"/>
        <v>0</v>
      </c>
      <c r="G110" s="236"/>
      <c r="H110" s="236"/>
      <c r="I110" s="236"/>
      <c r="J110" s="236"/>
      <c r="K110" s="237"/>
      <c r="L110" s="238"/>
      <c r="M110" s="239"/>
      <c r="N110" s="240"/>
      <c r="O110" s="238"/>
      <c r="P110" s="235"/>
      <c r="Q110" s="239"/>
      <c r="R110" s="236"/>
      <c r="S110" s="236"/>
      <c r="T110" s="236"/>
      <c r="U110" s="236"/>
      <c r="V110" s="236"/>
      <c r="W110" s="236"/>
      <c r="X110" s="236"/>
      <c r="Y110" s="236"/>
      <c r="Z110" s="236"/>
      <c r="AA110" s="236"/>
      <c r="AB110" s="236"/>
      <c r="AC110" s="237"/>
      <c r="AD110" s="238"/>
      <c r="AE110" s="235"/>
      <c r="AF110" s="240"/>
      <c r="AG110" s="238"/>
      <c r="AH110" s="239"/>
      <c r="AI110" s="240"/>
      <c r="AJ110" s="238"/>
      <c r="AK110" s="239"/>
      <c r="AL110" s="240"/>
      <c r="AM110" s="238"/>
      <c r="AO110" s="169" t="s">
        <v>42</v>
      </c>
      <c r="AP110" s="171" t="str">
        <f t="shared" si="30"/>
        <v>Yes</v>
      </c>
    </row>
    <row r="111" spans="1:42" ht="25.5" hidden="1" customHeight="1">
      <c r="B111" s="234"/>
      <c r="C111" s="126" t="s">
        <v>72</v>
      </c>
      <c r="D111" s="231">
        <f t="shared" si="44"/>
        <v>0</v>
      </c>
      <c r="E111" s="232">
        <f t="shared" si="45"/>
        <v>0</v>
      </c>
      <c r="F111" s="231">
        <f t="shared" si="46"/>
        <v>0</v>
      </c>
      <c r="G111" s="236"/>
      <c r="H111" s="236"/>
      <c r="I111" s="236"/>
      <c r="J111" s="236"/>
      <c r="K111" s="237"/>
      <c r="L111" s="238"/>
      <c r="M111" s="239"/>
      <c r="N111" s="240"/>
      <c r="O111" s="238"/>
      <c r="P111" s="235"/>
      <c r="Q111" s="239"/>
      <c r="R111" s="236"/>
      <c r="S111" s="236"/>
      <c r="T111" s="236"/>
      <c r="U111" s="236"/>
      <c r="V111" s="236"/>
      <c r="W111" s="236"/>
      <c r="X111" s="236"/>
      <c r="Y111" s="236"/>
      <c r="Z111" s="236"/>
      <c r="AA111" s="236"/>
      <c r="AB111" s="236"/>
      <c r="AC111" s="237"/>
      <c r="AD111" s="238"/>
      <c r="AE111" s="235"/>
      <c r="AF111" s="240"/>
      <c r="AG111" s="238"/>
      <c r="AH111" s="239"/>
      <c r="AI111" s="240"/>
      <c r="AJ111" s="238"/>
      <c r="AK111" s="239"/>
      <c r="AL111" s="240"/>
      <c r="AM111" s="238"/>
      <c r="AO111" s="169"/>
      <c r="AP111" s="171"/>
    </row>
    <row r="112" spans="1:42" ht="25.5" hidden="1" customHeight="1">
      <c r="B112" s="234"/>
      <c r="C112" s="126" t="s">
        <v>72</v>
      </c>
      <c r="D112" s="231">
        <f t="shared" si="44"/>
        <v>0</v>
      </c>
      <c r="E112" s="232">
        <f t="shared" si="45"/>
        <v>0</v>
      </c>
      <c r="F112" s="231">
        <f t="shared" si="46"/>
        <v>0</v>
      </c>
      <c r="G112" s="236"/>
      <c r="H112" s="236"/>
      <c r="I112" s="236"/>
      <c r="J112" s="236"/>
      <c r="K112" s="237"/>
      <c r="L112" s="238"/>
      <c r="M112" s="239"/>
      <c r="N112" s="240"/>
      <c r="O112" s="238"/>
      <c r="P112" s="235"/>
      <c r="Q112" s="239"/>
      <c r="R112" s="236"/>
      <c r="S112" s="236"/>
      <c r="T112" s="236"/>
      <c r="U112" s="236"/>
      <c r="V112" s="236"/>
      <c r="W112" s="236"/>
      <c r="X112" s="236"/>
      <c r="Y112" s="236"/>
      <c r="Z112" s="236"/>
      <c r="AA112" s="236"/>
      <c r="AB112" s="236"/>
      <c r="AC112" s="237"/>
      <c r="AD112" s="238"/>
      <c r="AE112" s="235"/>
      <c r="AF112" s="240"/>
      <c r="AG112" s="238"/>
      <c r="AH112" s="239"/>
      <c r="AI112" s="240"/>
      <c r="AJ112" s="238"/>
      <c r="AK112" s="239"/>
      <c r="AL112" s="240"/>
      <c r="AM112" s="238"/>
      <c r="AO112" s="169"/>
      <c r="AP112" s="171"/>
    </row>
    <row r="113" spans="2:42" ht="25.5" hidden="1" customHeight="1">
      <c r="B113" s="234"/>
      <c r="C113" s="126" t="s">
        <v>72</v>
      </c>
      <c r="D113" s="231">
        <f t="shared" si="44"/>
        <v>0</v>
      </c>
      <c r="E113" s="232">
        <f t="shared" si="45"/>
        <v>0</v>
      </c>
      <c r="F113" s="231">
        <f t="shared" si="46"/>
        <v>0</v>
      </c>
      <c r="G113" s="236"/>
      <c r="H113" s="236"/>
      <c r="I113" s="236"/>
      <c r="J113" s="236"/>
      <c r="K113" s="237"/>
      <c r="L113" s="238"/>
      <c r="M113" s="239"/>
      <c r="N113" s="240"/>
      <c r="O113" s="238"/>
      <c r="P113" s="235"/>
      <c r="Q113" s="239"/>
      <c r="R113" s="236"/>
      <c r="S113" s="236"/>
      <c r="T113" s="236"/>
      <c r="U113" s="236"/>
      <c r="V113" s="236"/>
      <c r="W113" s="236"/>
      <c r="X113" s="236"/>
      <c r="Y113" s="236"/>
      <c r="Z113" s="236"/>
      <c r="AA113" s="236"/>
      <c r="AB113" s="236"/>
      <c r="AC113" s="237"/>
      <c r="AD113" s="238"/>
      <c r="AE113" s="235"/>
      <c r="AF113" s="240"/>
      <c r="AG113" s="238"/>
      <c r="AH113" s="239"/>
      <c r="AI113" s="240"/>
      <c r="AJ113" s="238"/>
      <c r="AK113" s="239"/>
      <c r="AL113" s="240"/>
      <c r="AM113" s="238"/>
      <c r="AO113" s="169"/>
      <c r="AP113" s="171"/>
    </row>
    <row r="114" spans="2:42" ht="25.5" hidden="1" customHeight="1">
      <c r="B114" s="234"/>
      <c r="C114" s="126" t="s">
        <v>72</v>
      </c>
      <c r="D114" s="231">
        <f t="shared" si="44"/>
        <v>0</v>
      </c>
      <c r="E114" s="232">
        <f t="shared" si="45"/>
        <v>0</v>
      </c>
      <c r="F114" s="231">
        <f t="shared" si="46"/>
        <v>0</v>
      </c>
      <c r="G114" s="236"/>
      <c r="H114" s="236"/>
      <c r="I114" s="236"/>
      <c r="J114" s="236"/>
      <c r="K114" s="237"/>
      <c r="L114" s="238"/>
      <c r="M114" s="239"/>
      <c r="N114" s="240"/>
      <c r="O114" s="238"/>
      <c r="P114" s="235"/>
      <c r="Q114" s="239"/>
      <c r="R114" s="236"/>
      <c r="S114" s="236"/>
      <c r="T114" s="236"/>
      <c r="U114" s="236"/>
      <c r="V114" s="236"/>
      <c r="W114" s="236"/>
      <c r="X114" s="236"/>
      <c r="Y114" s="236"/>
      <c r="Z114" s="236"/>
      <c r="AA114" s="236"/>
      <c r="AB114" s="236"/>
      <c r="AC114" s="237"/>
      <c r="AD114" s="238"/>
      <c r="AE114" s="235"/>
      <c r="AF114" s="240"/>
      <c r="AG114" s="238"/>
      <c r="AH114" s="239"/>
      <c r="AI114" s="240"/>
      <c r="AJ114" s="238"/>
      <c r="AK114" s="239"/>
      <c r="AL114" s="240"/>
      <c r="AM114" s="238"/>
      <c r="AO114" s="169"/>
      <c r="AP114" s="171"/>
    </row>
    <row r="115" spans="2:42" ht="25.5" hidden="1" customHeight="1">
      <c r="B115" s="234"/>
      <c r="C115" s="126" t="s">
        <v>72</v>
      </c>
      <c r="D115" s="231">
        <f t="shared" si="44"/>
        <v>0</v>
      </c>
      <c r="E115" s="232">
        <f t="shared" si="45"/>
        <v>0</v>
      </c>
      <c r="F115" s="231">
        <f t="shared" si="46"/>
        <v>0</v>
      </c>
      <c r="G115" s="236"/>
      <c r="H115" s="236"/>
      <c r="I115" s="236"/>
      <c r="J115" s="236"/>
      <c r="K115" s="237"/>
      <c r="L115" s="238"/>
      <c r="M115" s="239"/>
      <c r="N115" s="240"/>
      <c r="O115" s="238"/>
      <c r="P115" s="235"/>
      <c r="Q115" s="239"/>
      <c r="R115" s="236"/>
      <c r="S115" s="236"/>
      <c r="T115" s="236"/>
      <c r="U115" s="236"/>
      <c r="V115" s="236"/>
      <c r="W115" s="236"/>
      <c r="X115" s="236"/>
      <c r="Y115" s="236"/>
      <c r="Z115" s="236"/>
      <c r="AA115" s="236"/>
      <c r="AB115" s="236"/>
      <c r="AC115" s="237"/>
      <c r="AD115" s="238"/>
      <c r="AE115" s="235"/>
      <c r="AF115" s="240"/>
      <c r="AG115" s="238"/>
      <c r="AH115" s="239"/>
      <c r="AI115" s="240"/>
      <c r="AJ115" s="238"/>
      <c r="AK115" s="239"/>
      <c r="AL115" s="240"/>
      <c r="AM115" s="238"/>
      <c r="AO115" s="169"/>
      <c r="AP115" s="171"/>
    </row>
    <row r="116" spans="2:42" ht="25.5" hidden="1" customHeight="1">
      <c r="B116" s="234"/>
      <c r="C116" s="126" t="s">
        <v>72</v>
      </c>
      <c r="D116" s="231">
        <f t="shared" si="44"/>
        <v>0</v>
      </c>
      <c r="E116" s="232">
        <f t="shared" si="45"/>
        <v>0</v>
      </c>
      <c r="F116" s="231">
        <f t="shared" si="46"/>
        <v>0</v>
      </c>
      <c r="G116" s="236"/>
      <c r="H116" s="236"/>
      <c r="I116" s="236"/>
      <c r="J116" s="236"/>
      <c r="K116" s="237"/>
      <c r="L116" s="238"/>
      <c r="M116" s="239"/>
      <c r="N116" s="240"/>
      <c r="O116" s="238"/>
      <c r="P116" s="235"/>
      <c r="Q116" s="239"/>
      <c r="R116" s="236"/>
      <c r="S116" s="236"/>
      <c r="T116" s="236"/>
      <c r="U116" s="236"/>
      <c r="V116" s="236"/>
      <c r="W116" s="236"/>
      <c r="X116" s="236"/>
      <c r="Y116" s="236"/>
      <c r="Z116" s="236"/>
      <c r="AA116" s="236"/>
      <c r="AB116" s="236"/>
      <c r="AC116" s="237"/>
      <c r="AD116" s="238"/>
      <c r="AE116" s="235"/>
      <c r="AF116" s="240"/>
      <c r="AG116" s="238"/>
      <c r="AH116" s="239"/>
      <c r="AI116" s="240"/>
      <c r="AJ116" s="238"/>
      <c r="AK116" s="239"/>
      <c r="AL116" s="240"/>
      <c r="AM116" s="238"/>
      <c r="AO116" s="169" t="s">
        <v>42</v>
      </c>
      <c r="AP116" s="171" t="str">
        <f t="shared" si="30"/>
        <v>Yes</v>
      </c>
    </row>
    <row r="117" spans="2:42" ht="25.5" hidden="1" customHeight="1" thickBot="1">
      <c r="B117" s="234"/>
      <c r="C117" s="126" t="s">
        <v>72</v>
      </c>
      <c r="D117" s="231">
        <f t="shared" si="44"/>
        <v>0</v>
      </c>
      <c r="E117" s="232">
        <f t="shared" si="45"/>
        <v>0</v>
      </c>
      <c r="F117" s="231">
        <f t="shared" si="46"/>
        <v>0</v>
      </c>
      <c r="G117" s="236"/>
      <c r="H117" s="236"/>
      <c r="I117" s="236"/>
      <c r="J117" s="236"/>
      <c r="K117" s="237"/>
      <c r="L117" s="238"/>
      <c r="M117" s="239"/>
      <c r="N117" s="240"/>
      <c r="O117" s="238"/>
      <c r="P117" s="235"/>
      <c r="Q117" s="239"/>
      <c r="R117" s="236"/>
      <c r="S117" s="236"/>
      <c r="T117" s="236"/>
      <c r="U117" s="236"/>
      <c r="V117" s="236"/>
      <c r="W117" s="236"/>
      <c r="X117" s="236"/>
      <c r="Y117" s="236"/>
      <c r="Z117" s="236"/>
      <c r="AA117" s="236"/>
      <c r="AB117" s="236"/>
      <c r="AC117" s="237"/>
      <c r="AD117" s="238"/>
      <c r="AE117" s="235"/>
      <c r="AF117" s="240"/>
      <c r="AG117" s="238"/>
      <c r="AH117" s="239"/>
      <c r="AI117" s="240"/>
      <c r="AJ117" s="238"/>
      <c r="AK117" s="239"/>
      <c r="AL117" s="240"/>
      <c r="AM117" s="238"/>
      <c r="AO117" s="169" t="s">
        <v>42</v>
      </c>
      <c r="AP117" s="171" t="str">
        <f t="shared" si="30"/>
        <v>Yes</v>
      </c>
    </row>
    <row r="118" spans="2:42" ht="25.5" customHeight="1" thickBot="1">
      <c r="B118" s="260"/>
      <c r="C118" s="261" t="s">
        <v>73</v>
      </c>
      <c r="D118" s="262">
        <f>D100+D101-D108</f>
        <v>0</v>
      </c>
      <c r="E118" s="263">
        <f t="shared" ref="E118:F118" si="47">E100+E101-E108</f>
        <v>272538.90000000002</v>
      </c>
      <c r="F118" s="262">
        <f t="shared" si="47"/>
        <v>6063641.2400000002</v>
      </c>
      <c r="G118" s="262">
        <f t="shared" ref="G118:I118" si="48">G100+G101-G108</f>
        <v>0</v>
      </c>
      <c r="H118" s="262">
        <f t="shared" si="48"/>
        <v>10193.75</v>
      </c>
      <c r="I118" s="262">
        <f t="shared" si="48"/>
        <v>0</v>
      </c>
      <c r="J118" s="262">
        <f t="shared" ref="J118:AM118" si="49">J100+J101-J108</f>
        <v>0</v>
      </c>
      <c r="K118" s="263">
        <f t="shared" si="49"/>
        <v>2157.92</v>
      </c>
      <c r="L118" s="265">
        <f t="shared" si="49"/>
        <v>0</v>
      </c>
      <c r="M118" s="264">
        <f t="shared" si="49"/>
        <v>0</v>
      </c>
      <c r="N118" s="266">
        <f t="shared" si="49"/>
        <v>50779.62</v>
      </c>
      <c r="O118" s="265">
        <f t="shared" si="49"/>
        <v>47829.14</v>
      </c>
      <c r="P118" s="267">
        <f t="shared" si="49"/>
        <v>0</v>
      </c>
      <c r="Q118" s="264">
        <f t="shared" si="49"/>
        <v>0</v>
      </c>
      <c r="R118" s="262">
        <f t="shared" si="49"/>
        <v>-1702.61</v>
      </c>
      <c r="S118" s="262">
        <f t="shared" ref="S118:U118" si="50">S100+S101-S108</f>
        <v>0</v>
      </c>
      <c r="T118" s="262">
        <f t="shared" si="50"/>
        <v>0</v>
      </c>
      <c r="U118" s="262">
        <f t="shared" si="50"/>
        <v>0</v>
      </c>
      <c r="V118" s="262">
        <f t="shared" si="49"/>
        <v>0</v>
      </c>
      <c r="W118" s="262">
        <f t="shared" si="49"/>
        <v>0</v>
      </c>
      <c r="X118" s="262">
        <f t="shared" si="49"/>
        <v>264047.15000000002</v>
      </c>
      <c r="Y118" s="262">
        <f t="shared" si="49"/>
        <v>0</v>
      </c>
      <c r="Z118" s="262">
        <f t="shared" si="49"/>
        <v>0</v>
      </c>
      <c r="AA118" s="262">
        <f t="shared" si="49"/>
        <v>55075.44</v>
      </c>
      <c r="AB118" s="262">
        <f t="shared" si="49"/>
        <v>0</v>
      </c>
      <c r="AC118" s="263">
        <f t="shared" si="49"/>
        <v>0</v>
      </c>
      <c r="AD118" s="265">
        <f t="shared" si="49"/>
        <v>46093.490000000005</v>
      </c>
      <c r="AE118" s="267">
        <f t="shared" si="49"/>
        <v>0</v>
      </c>
      <c r="AF118" s="266">
        <f t="shared" si="49"/>
        <v>1294.9000000000001</v>
      </c>
      <c r="AG118" s="265">
        <f t="shared" si="49"/>
        <v>0</v>
      </c>
      <c r="AH118" s="264">
        <f t="shared" si="49"/>
        <v>0</v>
      </c>
      <c r="AI118" s="266">
        <f t="shared" si="49"/>
        <v>0</v>
      </c>
      <c r="AJ118" s="265">
        <f t="shared" si="49"/>
        <v>187163.58</v>
      </c>
      <c r="AK118" s="264">
        <f t="shared" si="49"/>
        <v>0</v>
      </c>
      <c r="AL118" s="266">
        <f t="shared" si="49"/>
        <v>208112.71</v>
      </c>
      <c r="AM118" s="265">
        <f t="shared" si="49"/>
        <v>5465135.0499999998</v>
      </c>
      <c r="AN118" s="268">
        <f>ABS(ROUND(G118*1+H118*2+I118*3+J118*4+K118*5+L118*6+M118*7+N118*8+O118*9+P118*10+Q118*11+R118*12+V118*13+W118*14+X118*15+Y118*16+Z118*17+AA118*18+AB118*19+AC118*20+AD118*21+AE118*22+AF118*23+AG118*24+AH118*25+AI118*26+AJ118*27+AK118*28+AL118*29+AM118*30,0+U118*31))</f>
        <v>181839993</v>
      </c>
      <c r="AO118" s="169" t="s">
        <v>42</v>
      </c>
      <c r="AP118" s="171" t="str">
        <f t="shared" si="30"/>
        <v>Yes</v>
      </c>
    </row>
    <row r="119" spans="2:42" ht="6.75" customHeight="1">
      <c r="AO119" s="169" t="s">
        <v>42</v>
      </c>
      <c r="AP119" s="171" t="str">
        <f t="shared" si="30"/>
        <v>Yes</v>
      </c>
    </row>
    <row r="120" spans="2:42" ht="25.5" customHeight="1" thickBot="1">
      <c r="AA120" s="163" t="s">
        <v>77</v>
      </c>
      <c r="AO120" s="169" t="s">
        <v>42</v>
      </c>
      <c r="AP120" s="171" t="str">
        <f t="shared" si="30"/>
        <v>Yes</v>
      </c>
    </row>
    <row r="121" spans="2:42" ht="27" customHeight="1">
      <c r="B121" s="272"/>
      <c r="C121" s="371" t="s">
        <v>74</v>
      </c>
      <c r="D121" s="372" t="s">
        <v>75</v>
      </c>
      <c r="E121" s="372" t="s">
        <v>94</v>
      </c>
      <c r="F121" s="373" t="s">
        <v>76</v>
      </c>
      <c r="R121" s="100"/>
      <c r="S121" s="163"/>
      <c r="T121" s="163"/>
      <c r="U121" s="163"/>
      <c r="V121" s="163"/>
      <c r="W121" s="163"/>
      <c r="X121" s="163"/>
      <c r="Z121" s="100"/>
      <c r="AA121" s="100"/>
      <c r="AO121" s="169" t="s">
        <v>42</v>
      </c>
      <c r="AP121" s="171" t="str">
        <f t="shared" si="30"/>
        <v>Yes</v>
      </c>
    </row>
    <row r="122" spans="2:42" ht="25.5" customHeight="1">
      <c r="B122" s="272"/>
      <c r="C122" s="374" t="s">
        <v>251</v>
      </c>
      <c r="D122" s="375"/>
      <c r="E122" s="376">
        <v>16976.27</v>
      </c>
      <c r="F122" s="377">
        <v>30945.19</v>
      </c>
      <c r="R122" s="107"/>
      <c r="S122" s="107"/>
      <c r="T122" s="100"/>
      <c r="U122" s="107"/>
      <c r="V122" s="107"/>
      <c r="W122" s="100"/>
      <c r="X122" s="107"/>
      <c r="Z122" s="100"/>
      <c r="AA122" s="164" t="s">
        <v>78</v>
      </c>
      <c r="AO122" s="169" t="s">
        <v>42</v>
      </c>
      <c r="AP122" s="171" t="str">
        <f t="shared" si="30"/>
        <v>Yes</v>
      </c>
    </row>
    <row r="123" spans="2:42" ht="24.75" customHeight="1">
      <c r="B123" s="272"/>
      <c r="C123" s="374" t="s">
        <v>252</v>
      </c>
      <c r="D123" s="375"/>
      <c r="E123" s="376">
        <v>212.67</v>
      </c>
      <c r="F123" s="377">
        <v>2818.7</v>
      </c>
      <c r="R123" s="107"/>
      <c r="S123" s="107"/>
      <c r="T123" s="164"/>
      <c r="U123" s="107"/>
      <c r="V123" s="107"/>
      <c r="W123" s="164"/>
      <c r="X123" s="107"/>
      <c r="Z123" s="164"/>
      <c r="AA123" s="166" t="s">
        <v>255</v>
      </c>
      <c r="AO123" s="169" t="s">
        <v>42</v>
      </c>
      <c r="AP123" s="171" t="str">
        <f t="shared" si="30"/>
        <v>Yes</v>
      </c>
    </row>
    <row r="124" spans="2:42" ht="23.25" customHeight="1">
      <c r="B124" s="272"/>
      <c r="C124" s="374" t="s">
        <v>253</v>
      </c>
      <c r="D124" s="375"/>
      <c r="E124" s="376">
        <v>530.79</v>
      </c>
      <c r="F124" s="377">
        <v>-30945.19</v>
      </c>
      <c r="R124" s="107"/>
      <c r="S124" s="107"/>
      <c r="T124" s="166"/>
      <c r="U124" s="107"/>
      <c r="V124" s="107"/>
      <c r="W124" s="166"/>
      <c r="X124" s="107"/>
      <c r="Z124" s="166"/>
      <c r="AA124" s="164"/>
      <c r="AO124" s="169" t="s">
        <v>42</v>
      </c>
      <c r="AP124" s="171" t="str">
        <f t="shared" si="30"/>
        <v>Yes</v>
      </c>
    </row>
    <row r="125" spans="2:42" ht="24.75" customHeight="1">
      <c r="B125" s="272"/>
      <c r="C125" s="374" t="s">
        <v>275</v>
      </c>
      <c r="D125" s="375"/>
      <c r="E125" s="376"/>
      <c r="F125" s="377"/>
      <c r="R125" s="107"/>
      <c r="S125" s="107"/>
      <c r="T125" s="164"/>
      <c r="U125" s="107"/>
      <c r="V125" s="107"/>
      <c r="W125" s="164"/>
      <c r="X125" s="107"/>
      <c r="Z125" s="164"/>
      <c r="AA125" s="164" t="s">
        <v>80</v>
      </c>
      <c r="AO125" s="169" t="s">
        <v>42</v>
      </c>
      <c r="AP125" s="171" t="str">
        <f t="shared" si="30"/>
        <v>Yes</v>
      </c>
    </row>
    <row r="126" spans="2:42" ht="27" customHeight="1">
      <c r="B126" s="272"/>
      <c r="C126" s="374" t="s">
        <v>254</v>
      </c>
      <c r="D126" s="375"/>
      <c r="E126" s="376">
        <v>48.35</v>
      </c>
      <c r="F126" s="377">
        <v>-2818.7</v>
      </c>
      <c r="R126" s="107"/>
      <c r="S126" s="107"/>
      <c r="T126" s="164"/>
      <c r="U126" s="107"/>
      <c r="V126" s="107"/>
      <c r="W126" s="164"/>
      <c r="X126" s="107"/>
      <c r="Z126" s="164"/>
      <c r="AA126" s="166" t="s">
        <v>273</v>
      </c>
      <c r="AO126" s="169" t="s">
        <v>42</v>
      </c>
      <c r="AP126" s="171" t="str">
        <f t="shared" si="30"/>
        <v>Yes</v>
      </c>
    </row>
    <row r="127" spans="2:42" ht="27" customHeight="1">
      <c r="B127" s="272"/>
      <c r="C127" s="374" t="s">
        <v>275</v>
      </c>
      <c r="D127" s="375"/>
      <c r="E127" s="376"/>
      <c r="F127" s="377"/>
      <c r="R127" s="107"/>
      <c r="S127" s="107"/>
      <c r="T127" s="166"/>
      <c r="U127" s="107"/>
      <c r="V127" s="107"/>
      <c r="W127" s="166"/>
      <c r="X127" s="107"/>
      <c r="Z127" s="166"/>
      <c r="AA127" s="165"/>
      <c r="AO127" s="169" t="s">
        <v>42</v>
      </c>
      <c r="AP127" s="171" t="str">
        <f t="shared" si="30"/>
        <v>Yes</v>
      </c>
    </row>
    <row r="128" spans="2:42" ht="27" customHeight="1">
      <c r="B128" s="272"/>
      <c r="C128" s="374" t="s">
        <v>276</v>
      </c>
      <c r="D128" s="375"/>
      <c r="E128" s="376">
        <v>-17507.060000000001</v>
      </c>
      <c r="F128" s="377"/>
      <c r="AP128" s="171" t="str">
        <f t="shared" si="30"/>
        <v>Yes</v>
      </c>
    </row>
    <row r="129" spans="3:42" ht="27" customHeight="1">
      <c r="C129" s="374" t="s">
        <v>277</v>
      </c>
      <c r="D129" s="375"/>
      <c r="E129" s="376">
        <v>-261.02</v>
      </c>
      <c r="F129" s="377"/>
      <c r="AP129" s="171" t="str">
        <f t="shared" si="30"/>
        <v>Yes</v>
      </c>
    </row>
    <row r="130" spans="3:42" ht="23.25" customHeight="1" thickBot="1">
      <c r="C130" s="378" t="s">
        <v>274</v>
      </c>
      <c r="D130" s="379"/>
      <c r="E130" s="380">
        <v>39.450000000000003</v>
      </c>
      <c r="F130" s="381">
        <v>550.29</v>
      </c>
      <c r="AP130" s="171" t="str">
        <f t="shared" si="30"/>
        <v>Yes</v>
      </c>
    </row>
    <row r="131" spans="3:42" ht="23.25" customHeight="1" thickBot="1">
      <c r="C131" s="382" t="s">
        <v>81</v>
      </c>
      <c r="D131" s="383"/>
      <c r="E131" s="383">
        <f>SUM(E122:E130)</f>
        <v>39.44999999999682</v>
      </c>
      <c r="F131" s="384">
        <f>SUM(F122:F130)</f>
        <v>550.29000000000087</v>
      </c>
      <c r="AP131" s="171" t="str">
        <f t="shared" si="30"/>
        <v>Yes</v>
      </c>
    </row>
    <row r="132" spans="3:42" ht="25.5" customHeight="1">
      <c r="AP132" s="171" t="str">
        <f t="shared" ref="AP132:AP134" si="51">IF(AO132&lt;&gt;"",AO132,IF(C132&lt;&gt;"","Yes","No"))</f>
        <v>No</v>
      </c>
    </row>
    <row r="133" spans="3:42" ht="25.5" customHeight="1">
      <c r="AP133" s="171" t="str">
        <f t="shared" si="51"/>
        <v>No</v>
      </c>
    </row>
    <row r="134" spans="3:42" ht="25.5" customHeight="1">
      <c r="AP134" s="171" t="str">
        <f t="shared" si="51"/>
        <v>No</v>
      </c>
    </row>
    <row r="135" spans="3:42" ht="25.5" customHeight="1">
      <c r="AP135" s="171"/>
    </row>
    <row r="136" spans="3:42" ht="25.5" customHeight="1">
      <c r="AP136" s="171"/>
    </row>
    <row r="137" spans="3:42" ht="25.5" customHeight="1">
      <c r="AP137" s="171"/>
    </row>
    <row r="138" spans="3:42" ht="25.5" customHeight="1">
      <c r="AP138" s="171"/>
    </row>
    <row r="139" spans="3:42" ht="25.5" customHeight="1">
      <c r="AP139" s="171"/>
    </row>
    <row r="140" spans="3:42" ht="25.5" customHeight="1">
      <c r="AP140" s="171"/>
    </row>
    <row r="141" spans="3:42" ht="25.5" customHeight="1">
      <c r="AP141" s="171"/>
    </row>
    <row r="142" spans="3:42" ht="25.5" customHeight="1">
      <c r="AP142" s="171"/>
    </row>
    <row r="143" spans="3:42" ht="25.5" customHeight="1">
      <c r="AP143" s="171"/>
    </row>
    <row r="144" spans="3:42" ht="25.5" customHeight="1">
      <c r="AP144" s="171"/>
    </row>
  </sheetData>
  <sheetProtection algorithmName="SHA-512" hashValue="QZuy08i33OF7X2t7qDx1cQpGnD4RJ7pqK+1CHUcmKNAED9VgTZ4owFmvbQhElGHzrx5w0yfBLfpQYgR/SRSmkg==" saltValue="lVUy9yGO0B+Lv1gbq4/pqw==" spinCount="100000" sheet="1" formatCells="0" formatColumns="0" formatRows="0" autoFilter="0"/>
  <autoFilter ref="AP1:AP134" xr:uid="{00000000-0009-0000-0000-000001000000}"/>
  <mergeCells count="25">
    <mergeCell ref="Y7:AA7"/>
    <mergeCell ref="AB7:AD7"/>
    <mergeCell ref="AE7:AG7"/>
    <mergeCell ref="P6:AA6"/>
    <mergeCell ref="J7:L7"/>
    <mergeCell ref="M7:O7"/>
    <mergeCell ref="P7:R7"/>
    <mergeCell ref="V7:X7"/>
    <mergeCell ref="S7:U7"/>
    <mergeCell ref="B1:AM1"/>
    <mergeCell ref="B2:AM2"/>
    <mergeCell ref="B3:AM3"/>
    <mergeCell ref="G5:O5"/>
    <mergeCell ref="P5:AJ5"/>
    <mergeCell ref="B5:B8"/>
    <mergeCell ref="C5:C8"/>
    <mergeCell ref="D7:D8"/>
    <mergeCell ref="E7:E8"/>
    <mergeCell ref="F7:F8"/>
    <mergeCell ref="AK5:AM7"/>
    <mergeCell ref="D5:F6"/>
    <mergeCell ref="AH6:AJ7"/>
    <mergeCell ref="G6:L6"/>
    <mergeCell ref="M6:O6"/>
    <mergeCell ref="AE6:AG6"/>
  </mergeCells>
  <conditionalFormatting sqref="AP1">
    <cfRule type="cellIs" dxfId="6" priority="1" operator="equal">
      <formula>"Hide"</formula>
    </cfRule>
  </conditionalFormatting>
  <conditionalFormatting sqref="D9:F9">
    <cfRule type="cellIs" dxfId="5" priority="5" operator="notEqual">
      <formula>G9+J9+M9+P9+Y9+AB9+AE9+AH9+AK9+V9</formula>
    </cfRule>
  </conditionalFormatting>
  <conditionalFormatting sqref="AN9">
    <cfRule type="cellIs" dxfId="4" priority="3" operator="notEqual">
      <formula>ABS(ROUND(G9*1+H9*2+I9*3+J9*4+K9*5+L9*6+M9*7+N9*8+O9*9+P9*10+Q9*11+R9*12+V9*13+W9*14+X9*15+Y9*16+Z9*17+AA9*18+AB9*19+AC9*20+AD9*21+AE9*22+AF9*23+AG9*24+AH9*25+AI9*26+AJ9*27+AK9*28+AL9*29+AM9*30,0))</formula>
    </cfRule>
  </conditionalFormatting>
  <dataValidations disablePrompts="1" count="1">
    <dataValidation type="list" allowBlank="1" showInputMessage="1" showErrorMessage="1" sqref="AP1" xr:uid="{00000000-0002-0000-0100-000000000000}">
      <formula1>"Hide,Unhide"</formula1>
    </dataValidation>
  </dataValidations>
  <pageMargins left="0.2" right="0.2" top="0.5" bottom="0" header="0.23622047244094499" footer="0.15748031496063"/>
  <pageSetup paperSize="9" scale="3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Pict="0" macro="[0]!FilterYes2">
                <anchor moveWithCells="1" sizeWithCells="1">
                  <from>
                    <xdr:col>40</xdr:col>
                    <xdr:colOff>238125</xdr:colOff>
                    <xdr:row>0</xdr:row>
                    <xdr:rowOff>219075</xdr:rowOff>
                  </from>
                  <to>
                    <xdr:col>40</xdr:col>
                    <xdr:colOff>1123950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 tint="-0.249977111117893"/>
  </sheetPr>
  <dimension ref="A1:Q559"/>
  <sheetViews>
    <sheetView view="pageBreakPreview" zoomScale="68" zoomScaleNormal="90" zoomScaleSheetLayoutView="68" workbookViewId="0">
      <pane xSplit="3" ySplit="6" topLeftCell="D58" activePane="bottomRight" state="frozen"/>
      <selection pane="topRight"/>
      <selection pane="bottomLeft"/>
      <selection pane="bottomRight" activeCell="H157" sqref="H157"/>
    </sheetView>
  </sheetViews>
  <sheetFormatPr defaultColWidth="9" defaultRowHeight="27"/>
  <cols>
    <col min="1" max="3" width="19.140625" style="96" hidden="1" customWidth="1"/>
    <col min="4" max="4" width="16.85546875" style="107" customWidth="1"/>
    <col min="5" max="5" width="16.42578125" style="107" customWidth="1"/>
    <col min="6" max="6" width="16.28515625" style="107" hidden="1" customWidth="1"/>
    <col min="7" max="7" width="17.42578125" style="107" customWidth="1"/>
    <col min="8" max="8" width="67.42578125" style="100" customWidth="1"/>
    <col min="9" max="9" width="18.7109375" style="108" hidden="1" customWidth="1"/>
    <col min="10" max="10" width="18.7109375" style="108" customWidth="1"/>
    <col min="11" max="11" width="20.7109375" style="108" customWidth="1"/>
    <col min="12" max="12" width="21" style="103" customWidth="1"/>
    <col min="13" max="13" width="6.7109375" style="129" customWidth="1"/>
    <col min="14" max="14" width="11.7109375" style="167" customWidth="1"/>
    <col min="15" max="15" width="3.42578125" style="100" customWidth="1"/>
    <col min="16" max="16" width="9.140625" style="100" customWidth="1"/>
    <col min="17" max="16384" width="9" style="100"/>
  </cols>
  <sheetData>
    <row r="1" spans="1:17" ht="34.5" customHeight="1">
      <c r="D1" s="394" t="s">
        <v>82</v>
      </c>
      <c r="E1" s="394"/>
      <c r="F1" s="394"/>
      <c r="G1" s="394"/>
      <c r="H1" s="394"/>
      <c r="I1" s="394"/>
      <c r="J1" s="394"/>
      <c r="K1" s="394"/>
      <c r="L1" s="97"/>
      <c r="M1" s="98"/>
      <c r="N1" s="99" t="s">
        <v>43</v>
      </c>
      <c r="P1" s="101" t="s">
        <v>83</v>
      </c>
      <c r="Q1" s="102"/>
    </row>
    <row r="2" spans="1:17" ht="30.75">
      <c r="D2" s="394" t="s">
        <v>240</v>
      </c>
      <c r="E2" s="394"/>
      <c r="F2" s="394"/>
      <c r="G2" s="394"/>
      <c r="H2" s="394"/>
      <c r="I2" s="394"/>
      <c r="J2" s="394"/>
      <c r="K2" s="394"/>
      <c r="M2" s="104" t="s">
        <v>42</v>
      </c>
      <c r="N2" s="105" t="str">
        <f t="shared" ref="N2:N67" si="0">IF(M2&lt;&gt;"",M2,IF(SUM(I2:K2)&lt;&gt;0,"Yes","No"))</f>
        <v>Yes</v>
      </c>
      <c r="P2" s="106" t="s">
        <v>84</v>
      </c>
      <c r="Q2" s="102"/>
    </row>
    <row r="3" spans="1:17" ht="30.75">
      <c r="D3" s="394" t="s">
        <v>303</v>
      </c>
      <c r="E3" s="394"/>
      <c r="F3" s="394"/>
      <c r="G3" s="394"/>
      <c r="H3" s="394"/>
      <c r="I3" s="394"/>
      <c r="J3" s="394"/>
      <c r="K3" s="394"/>
      <c r="M3" s="104" t="s">
        <v>42</v>
      </c>
      <c r="N3" s="105" t="str">
        <f t="shared" si="0"/>
        <v>Yes</v>
      </c>
      <c r="P3" s="106" t="s">
        <v>85</v>
      </c>
      <c r="Q3" s="102"/>
    </row>
    <row r="4" spans="1:17" ht="8.25" customHeight="1">
      <c r="M4" s="104" t="s">
        <v>42</v>
      </c>
      <c r="N4" s="105" t="str">
        <f t="shared" si="0"/>
        <v>Yes</v>
      </c>
      <c r="P4" s="106" t="s">
        <v>86</v>
      </c>
      <c r="Q4" s="102"/>
    </row>
    <row r="5" spans="1:17" ht="34.5" customHeight="1">
      <c r="D5" s="463" t="s">
        <v>87</v>
      </c>
      <c r="E5" s="465" t="s">
        <v>88</v>
      </c>
      <c r="F5" s="467" t="s">
        <v>89</v>
      </c>
      <c r="G5" s="467" t="s">
        <v>90</v>
      </c>
      <c r="H5" s="467" t="s">
        <v>91</v>
      </c>
      <c r="I5" s="460" t="s">
        <v>92</v>
      </c>
      <c r="J5" s="461"/>
      <c r="K5" s="462"/>
      <c r="M5" s="104" t="s">
        <v>42</v>
      </c>
      <c r="N5" s="105" t="str">
        <f t="shared" si="0"/>
        <v>Yes</v>
      </c>
      <c r="P5" s="106" t="s">
        <v>93</v>
      </c>
      <c r="Q5" s="102"/>
    </row>
    <row r="6" spans="1:17" ht="30.75" customHeight="1">
      <c r="D6" s="464"/>
      <c r="E6" s="466"/>
      <c r="F6" s="468"/>
      <c r="G6" s="468"/>
      <c r="H6" s="468"/>
      <c r="I6" s="109" t="s">
        <v>94</v>
      </c>
      <c r="J6" s="110" t="s">
        <v>94</v>
      </c>
      <c r="K6" s="111" t="s">
        <v>241</v>
      </c>
      <c r="M6" s="104" t="s">
        <v>42</v>
      </c>
      <c r="N6" s="105" t="str">
        <f t="shared" si="0"/>
        <v>Yes</v>
      </c>
      <c r="P6" s="106" t="s">
        <v>95</v>
      </c>
      <c r="Q6" s="102"/>
    </row>
    <row r="7" spans="1:17" ht="24" customHeight="1">
      <c r="D7" s="112"/>
      <c r="E7" s="113"/>
      <c r="F7" s="114"/>
      <c r="G7" s="114"/>
      <c r="H7" s="114" t="s">
        <v>96</v>
      </c>
      <c r="I7" s="115"/>
      <c r="J7" s="115"/>
      <c r="K7" s="115"/>
      <c r="M7" s="104" t="s">
        <v>42</v>
      </c>
      <c r="N7" s="105" t="str">
        <f t="shared" si="0"/>
        <v>Yes</v>
      </c>
    </row>
    <row r="8" spans="1:17">
      <c r="D8" s="116"/>
      <c r="E8" s="117"/>
      <c r="F8" s="116"/>
      <c r="G8" s="116"/>
      <c r="H8" s="118" t="s">
        <v>51</v>
      </c>
      <c r="I8" s="119"/>
      <c r="J8" s="119"/>
      <c r="K8" s="119"/>
      <c r="M8" s="104" t="s">
        <v>42</v>
      </c>
      <c r="N8" s="105" t="str">
        <f t="shared" si="0"/>
        <v>Yes</v>
      </c>
    </row>
    <row r="9" spans="1:17">
      <c r="A9" s="96">
        <v>0</v>
      </c>
      <c r="D9" s="120"/>
      <c r="E9" s="120"/>
      <c r="F9" s="120"/>
      <c r="G9" s="120"/>
      <c r="H9" s="121" t="s">
        <v>55</v>
      </c>
      <c r="I9" s="122">
        <f>SUM(I10:I16)</f>
        <v>0</v>
      </c>
      <c r="J9" s="122">
        <f>SUM(J10:J16)</f>
        <v>10193.75</v>
      </c>
      <c r="K9" s="122">
        <f>SUM(K10:K16)</f>
        <v>0</v>
      </c>
      <c r="M9" s="104" t="s">
        <v>42</v>
      </c>
      <c r="N9" s="105" t="str">
        <f t="shared" si="0"/>
        <v>Yes</v>
      </c>
    </row>
    <row r="10" spans="1:17">
      <c r="A10" s="96">
        <f>IF(OR(SUM(I10:K10)=0,F10=""),A9,A9+1)</f>
        <v>1</v>
      </c>
      <c r="B10" s="96" t="s">
        <v>55</v>
      </c>
      <c r="C10" s="96" t="str">
        <f>IF(A10&lt;&gt;A9,A10&amp;"_"&amp;B10,"")</f>
        <v xml:space="preserve">1_หมวด พ.ข.ต. </v>
      </c>
      <c r="D10" s="123" t="s">
        <v>304</v>
      </c>
      <c r="E10" s="124">
        <v>1</v>
      </c>
      <c r="F10" s="125">
        <v>1100101001</v>
      </c>
      <c r="G10" s="124"/>
      <c r="H10" s="126" t="s">
        <v>242</v>
      </c>
      <c r="I10" s="127"/>
      <c r="J10" s="127">
        <v>4490</v>
      </c>
      <c r="K10" s="127"/>
      <c r="M10" s="104"/>
      <c r="N10" s="105" t="str">
        <f t="shared" si="0"/>
        <v>Yes</v>
      </c>
    </row>
    <row r="11" spans="1:17">
      <c r="A11" s="96">
        <f t="shared" ref="A11:A34" si="1">IF(OR(SUM(I11:K11)=0,F11=""),A10,A10+1)</f>
        <v>2</v>
      </c>
      <c r="B11" s="96" t="s">
        <v>55</v>
      </c>
      <c r="C11" s="96" t="str">
        <f t="shared" ref="C11:C34" si="2">IF(A11&lt;&gt;A10,A11&amp;"_"&amp;B11,"")</f>
        <v xml:space="preserve">2_หมวด พ.ข.ต. </v>
      </c>
      <c r="D11" s="123" t="s">
        <v>304</v>
      </c>
      <c r="E11" s="124">
        <v>1</v>
      </c>
      <c r="F11" s="125">
        <v>1100101001</v>
      </c>
      <c r="G11" s="124"/>
      <c r="H11" s="126" t="s">
        <v>243</v>
      </c>
      <c r="I11" s="127"/>
      <c r="J11" s="127">
        <v>4225</v>
      </c>
      <c r="K11" s="127"/>
      <c r="M11" s="104"/>
      <c r="N11" s="105" t="str">
        <f t="shared" si="0"/>
        <v>Yes</v>
      </c>
    </row>
    <row r="12" spans="1:17">
      <c r="A12" s="96">
        <f t="shared" si="1"/>
        <v>3</v>
      </c>
      <c r="B12" s="96" t="s">
        <v>55</v>
      </c>
      <c r="C12" s="96" t="str">
        <f t="shared" si="2"/>
        <v xml:space="preserve">3_หมวด พ.ข.ต. </v>
      </c>
      <c r="D12" s="123" t="s">
        <v>304</v>
      </c>
      <c r="E12" s="124">
        <v>1</v>
      </c>
      <c r="F12" s="125">
        <v>1100101001</v>
      </c>
      <c r="G12" s="124"/>
      <c r="H12" s="126" t="s">
        <v>244</v>
      </c>
      <c r="I12" s="127"/>
      <c r="J12" s="127">
        <v>1267.5</v>
      </c>
      <c r="K12" s="127"/>
      <c r="M12" s="104"/>
      <c r="N12" s="105" t="str">
        <f t="shared" si="0"/>
        <v>Yes</v>
      </c>
    </row>
    <row r="13" spans="1:17">
      <c r="A13" s="96">
        <f t="shared" si="1"/>
        <v>4</v>
      </c>
      <c r="B13" s="96" t="s">
        <v>55</v>
      </c>
      <c r="C13" s="96" t="str">
        <f t="shared" si="2"/>
        <v xml:space="preserve">4_หมวด พ.ข.ต. </v>
      </c>
      <c r="D13" s="123" t="s">
        <v>304</v>
      </c>
      <c r="E13" s="124">
        <v>1</v>
      </c>
      <c r="F13" s="125">
        <v>1100101001</v>
      </c>
      <c r="G13" s="124"/>
      <c r="H13" s="126" t="s">
        <v>245</v>
      </c>
      <c r="I13" s="127"/>
      <c r="J13" s="127">
        <v>211.25</v>
      </c>
      <c r="K13" s="127"/>
      <c r="M13" s="104"/>
      <c r="N13" s="105" t="str">
        <f t="shared" si="0"/>
        <v>Yes</v>
      </c>
    </row>
    <row r="14" spans="1:17" hidden="1">
      <c r="A14" s="96">
        <f t="shared" si="1"/>
        <v>4</v>
      </c>
      <c r="B14" s="96" t="s">
        <v>55</v>
      </c>
      <c r="C14" s="96" t="str">
        <f t="shared" si="2"/>
        <v/>
      </c>
      <c r="D14" s="123"/>
      <c r="E14" s="124"/>
      <c r="F14" s="125">
        <v>1100101001</v>
      </c>
      <c r="G14" s="124"/>
      <c r="H14" s="126" t="s">
        <v>97</v>
      </c>
      <c r="I14" s="127"/>
      <c r="J14" s="127"/>
      <c r="K14" s="127"/>
      <c r="M14" s="104"/>
      <c r="N14" s="105" t="str">
        <f t="shared" si="0"/>
        <v>No</v>
      </c>
    </row>
    <row r="15" spans="1:17" hidden="1">
      <c r="A15" s="96">
        <f t="shared" si="1"/>
        <v>4</v>
      </c>
      <c r="B15" s="96" t="s">
        <v>55</v>
      </c>
      <c r="C15" s="96" t="str">
        <f t="shared" si="2"/>
        <v/>
      </c>
      <c r="D15" s="123"/>
      <c r="E15" s="124"/>
      <c r="F15" s="125">
        <v>1100101001</v>
      </c>
      <c r="G15" s="124"/>
      <c r="H15" s="126" t="s">
        <v>97</v>
      </c>
      <c r="I15" s="127"/>
      <c r="J15" s="127"/>
      <c r="K15" s="127"/>
      <c r="M15" s="104"/>
      <c r="N15" s="105" t="str">
        <f t="shared" si="0"/>
        <v>No</v>
      </c>
    </row>
    <row r="16" spans="1:17" hidden="1">
      <c r="A16" s="96">
        <f t="shared" si="1"/>
        <v>4</v>
      </c>
      <c r="B16" s="96" t="str">
        <f>B10</f>
        <v xml:space="preserve">หมวด พ.ข.ต. </v>
      </c>
      <c r="C16" s="96" t="str">
        <f t="shared" si="2"/>
        <v/>
      </c>
      <c r="D16" s="123"/>
      <c r="E16" s="124"/>
      <c r="F16" s="125">
        <v>1100101001</v>
      </c>
      <c r="G16" s="124"/>
      <c r="H16" s="126" t="s">
        <v>97</v>
      </c>
      <c r="I16" s="127"/>
      <c r="J16" s="127"/>
      <c r="K16" s="127"/>
      <c r="M16" s="104"/>
      <c r="N16" s="105" t="str">
        <f t="shared" si="0"/>
        <v>No</v>
      </c>
    </row>
    <row r="17" spans="1:14">
      <c r="A17" s="96">
        <f t="shared" si="1"/>
        <v>4</v>
      </c>
      <c r="B17" s="96" t="s">
        <v>56</v>
      </c>
      <c r="C17" s="96" t="str">
        <f t="shared" si="2"/>
        <v/>
      </c>
      <c r="D17" s="128"/>
      <c r="E17" s="120"/>
      <c r="F17" s="120"/>
      <c r="G17" s="120"/>
      <c r="H17" s="121" t="s">
        <v>56</v>
      </c>
      <c r="I17" s="122">
        <f>SUM(I18:I23)</f>
        <v>0</v>
      </c>
      <c r="J17" s="122">
        <f>SUM(J18:J23)</f>
        <v>817</v>
      </c>
      <c r="K17" s="122">
        <f>SUM(K18:K23)</f>
        <v>0</v>
      </c>
      <c r="M17" s="104" t="s">
        <v>42</v>
      </c>
      <c r="N17" s="105" t="str">
        <f t="shared" si="0"/>
        <v>Yes</v>
      </c>
    </row>
    <row r="18" spans="1:14" hidden="1">
      <c r="A18" s="96">
        <f t="shared" si="1"/>
        <v>4</v>
      </c>
      <c r="B18" s="96" t="str">
        <f t="shared" ref="B18:B24" si="3">B17</f>
        <v>หมวดค่าจ้างชั่วคราว</v>
      </c>
      <c r="C18" s="96" t="str">
        <f t="shared" si="2"/>
        <v/>
      </c>
      <c r="D18" s="123"/>
      <c r="E18" s="124"/>
      <c r="F18" s="125">
        <v>1300101001</v>
      </c>
      <c r="G18" s="124"/>
      <c r="H18" s="126" t="s">
        <v>246</v>
      </c>
      <c r="I18" s="127"/>
      <c r="J18" s="127"/>
      <c r="K18" s="127"/>
      <c r="M18" s="104"/>
      <c r="N18" s="105" t="str">
        <f t="shared" si="0"/>
        <v>No</v>
      </c>
    </row>
    <row r="19" spans="1:14">
      <c r="A19" s="96">
        <f t="shared" si="1"/>
        <v>5</v>
      </c>
      <c r="B19" s="96" t="str">
        <f t="shared" si="3"/>
        <v>หมวดค่าจ้างชั่วคราว</v>
      </c>
      <c r="C19" s="96" t="str">
        <f t="shared" si="2"/>
        <v>5_หมวดค่าจ้างชั่วคราว</v>
      </c>
      <c r="D19" s="123" t="s">
        <v>304</v>
      </c>
      <c r="E19" s="124">
        <v>2</v>
      </c>
      <c r="F19" s="125">
        <v>1300101001</v>
      </c>
      <c r="G19" s="124"/>
      <c r="H19" s="126" t="s">
        <v>247</v>
      </c>
      <c r="I19" s="127"/>
      <c r="J19" s="127">
        <v>505</v>
      </c>
      <c r="K19" s="127"/>
      <c r="N19" s="105" t="str">
        <f t="shared" si="0"/>
        <v>Yes</v>
      </c>
    </row>
    <row r="20" spans="1:14">
      <c r="A20" s="96">
        <f t="shared" si="1"/>
        <v>6</v>
      </c>
      <c r="B20" s="96" t="str">
        <f t="shared" si="3"/>
        <v>หมวดค่าจ้างชั่วคราว</v>
      </c>
      <c r="C20" s="96" t="str">
        <f t="shared" si="2"/>
        <v>6_หมวดค่าจ้างชั่วคราว</v>
      </c>
      <c r="D20" s="123" t="s">
        <v>304</v>
      </c>
      <c r="E20" s="124">
        <v>2</v>
      </c>
      <c r="F20" s="125">
        <v>1300101001</v>
      </c>
      <c r="G20" s="124"/>
      <c r="H20" s="126" t="s">
        <v>280</v>
      </c>
      <c r="I20" s="127"/>
      <c r="J20" s="127">
        <v>312</v>
      </c>
      <c r="K20" s="127"/>
      <c r="N20" s="105" t="str">
        <f t="shared" si="0"/>
        <v>Yes</v>
      </c>
    </row>
    <row r="21" spans="1:14" hidden="1">
      <c r="A21" s="96">
        <f t="shared" si="1"/>
        <v>6</v>
      </c>
      <c r="B21" s="96" t="str">
        <f t="shared" si="3"/>
        <v>หมวดค่าจ้างชั่วคราว</v>
      </c>
      <c r="C21" s="96" t="str">
        <f t="shared" si="2"/>
        <v/>
      </c>
      <c r="D21" s="123"/>
      <c r="E21" s="124"/>
      <c r="F21" s="125">
        <v>1300101001</v>
      </c>
      <c r="G21" s="124"/>
      <c r="H21" s="126" t="s">
        <v>298</v>
      </c>
      <c r="I21" s="127"/>
      <c r="J21" s="127"/>
      <c r="K21" s="127"/>
      <c r="N21" s="105" t="str">
        <f t="shared" si="0"/>
        <v>No</v>
      </c>
    </row>
    <row r="22" spans="1:14" hidden="1">
      <c r="A22" s="96">
        <f t="shared" si="1"/>
        <v>6</v>
      </c>
      <c r="B22" s="96" t="str">
        <f t="shared" si="3"/>
        <v>หมวดค่าจ้างชั่วคราว</v>
      </c>
      <c r="C22" s="96" t="str">
        <f t="shared" si="2"/>
        <v/>
      </c>
      <c r="D22" s="123"/>
      <c r="E22" s="124"/>
      <c r="F22" s="125">
        <v>1300101001</v>
      </c>
      <c r="G22" s="124"/>
      <c r="H22" s="126" t="s">
        <v>299</v>
      </c>
      <c r="I22" s="127"/>
      <c r="J22" s="127"/>
      <c r="K22" s="127"/>
      <c r="N22" s="105" t="str">
        <f t="shared" si="0"/>
        <v>No</v>
      </c>
    </row>
    <row r="23" spans="1:14" hidden="1">
      <c r="A23" s="96">
        <f t="shared" si="1"/>
        <v>6</v>
      </c>
      <c r="B23" s="96" t="str">
        <f t="shared" si="3"/>
        <v>หมวดค่าจ้างชั่วคราว</v>
      </c>
      <c r="C23" s="96" t="str">
        <f t="shared" si="2"/>
        <v/>
      </c>
      <c r="D23" s="123"/>
      <c r="E23" s="124"/>
      <c r="F23" s="125">
        <v>1300101001</v>
      </c>
      <c r="G23" s="124"/>
      <c r="H23" s="126" t="s">
        <v>98</v>
      </c>
      <c r="I23" s="127"/>
      <c r="J23" s="127"/>
      <c r="K23" s="127"/>
      <c r="N23" s="105" t="str">
        <f t="shared" si="0"/>
        <v>No</v>
      </c>
    </row>
    <row r="24" spans="1:14">
      <c r="A24" s="96">
        <f t="shared" si="1"/>
        <v>6</v>
      </c>
      <c r="B24" s="96" t="str">
        <f t="shared" si="3"/>
        <v>หมวดค่าจ้างชั่วคราว</v>
      </c>
      <c r="C24" s="96" t="str">
        <f t="shared" si="2"/>
        <v/>
      </c>
      <c r="D24" s="130"/>
      <c r="E24" s="131"/>
      <c r="F24" s="132"/>
      <c r="G24" s="132"/>
      <c r="H24" s="133" t="s">
        <v>52</v>
      </c>
      <c r="I24" s="134"/>
      <c r="J24" s="134"/>
      <c r="K24" s="134"/>
      <c r="M24" s="104" t="s">
        <v>42</v>
      </c>
      <c r="N24" s="105" t="str">
        <f t="shared" si="0"/>
        <v>Yes</v>
      </c>
    </row>
    <row r="25" spans="1:14">
      <c r="A25" s="96">
        <f>IF(OR(SUM(I25:K25)=0,F25=""),A24,A24+1)</f>
        <v>6</v>
      </c>
      <c r="B25" s="96" t="s">
        <v>57</v>
      </c>
      <c r="C25" s="96" t="str">
        <f>IF(A25&lt;&gt;A24,A25&amp;"_"&amp;B25,"")</f>
        <v/>
      </c>
      <c r="D25" s="128"/>
      <c r="E25" s="120"/>
      <c r="F25" s="120"/>
      <c r="G25" s="120"/>
      <c r="H25" s="121" t="s">
        <v>57</v>
      </c>
      <c r="I25" s="122">
        <f>SUM(I26:I38)</f>
        <v>0</v>
      </c>
      <c r="J25" s="122">
        <f>SUM(J26:J38)</f>
        <v>0</v>
      </c>
      <c r="K25" s="122">
        <f>SUM(K26:K38)</f>
        <v>18220.97</v>
      </c>
      <c r="M25" s="104" t="s">
        <v>42</v>
      </c>
      <c r="N25" s="105" t="str">
        <f t="shared" si="0"/>
        <v>Yes</v>
      </c>
    </row>
    <row r="26" spans="1:14" hidden="1">
      <c r="A26" s="96">
        <f t="shared" si="1"/>
        <v>6</v>
      </c>
      <c r="B26" s="96" t="str">
        <f t="shared" ref="B26:B34" si="4">B25</f>
        <v>หมวดค่าตอบแทน ใช้สอยและวัสดุ</v>
      </c>
      <c r="C26" s="96" t="str">
        <f t="shared" si="2"/>
        <v/>
      </c>
      <c r="D26" s="123"/>
      <c r="E26" s="124"/>
      <c r="F26" s="125">
        <v>2100101001</v>
      </c>
      <c r="G26" s="124"/>
      <c r="H26" s="126" t="s">
        <v>288</v>
      </c>
      <c r="I26" s="127"/>
      <c r="J26" s="127"/>
      <c r="K26" s="127"/>
      <c r="M26" s="104"/>
      <c r="N26" s="105" t="str">
        <f t="shared" si="0"/>
        <v>No</v>
      </c>
    </row>
    <row r="27" spans="1:14">
      <c r="A27" s="96">
        <f t="shared" si="1"/>
        <v>7</v>
      </c>
      <c r="B27" s="96" t="str">
        <f t="shared" si="4"/>
        <v>หมวดค่าตอบแทน ใช้สอยและวัสดุ</v>
      </c>
      <c r="C27" s="96" t="str">
        <f t="shared" si="2"/>
        <v>7_หมวดค่าตอบแทน ใช้สอยและวัสดุ</v>
      </c>
      <c r="D27" s="123" t="s">
        <v>305</v>
      </c>
      <c r="E27" s="124">
        <v>3</v>
      </c>
      <c r="F27" s="125">
        <v>2100101002</v>
      </c>
      <c r="G27" s="124"/>
      <c r="H27" s="126" t="s">
        <v>281</v>
      </c>
      <c r="I27" s="127"/>
      <c r="J27" s="127"/>
      <c r="K27" s="127">
        <v>3754.27</v>
      </c>
      <c r="N27" s="105" t="str">
        <f t="shared" si="0"/>
        <v>Yes</v>
      </c>
    </row>
    <row r="28" spans="1:14">
      <c r="A28" s="96">
        <f t="shared" si="1"/>
        <v>8</v>
      </c>
      <c r="B28" s="96" t="str">
        <f t="shared" si="4"/>
        <v>หมวดค่าตอบแทน ใช้สอยและวัสดุ</v>
      </c>
      <c r="C28" s="96" t="str">
        <f t="shared" si="2"/>
        <v>8_หมวดค่าตอบแทน ใช้สอยและวัสดุ</v>
      </c>
      <c r="D28" s="123" t="s">
        <v>305</v>
      </c>
      <c r="E28" s="124">
        <v>4</v>
      </c>
      <c r="F28" s="125">
        <v>2100101003</v>
      </c>
      <c r="G28" s="124"/>
      <c r="H28" s="126" t="s">
        <v>289</v>
      </c>
      <c r="I28" s="127"/>
      <c r="J28" s="127"/>
      <c r="K28" s="127">
        <v>14466.7</v>
      </c>
      <c r="N28" s="105" t="str">
        <f t="shared" si="0"/>
        <v>Yes</v>
      </c>
    </row>
    <row r="29" spans="1:14" hidden="1">
      <c r="A29" s="96">
        <f t="shared" si="1"/>
        <v>8</v>
      </c>
      <c r="B29" s="96" t="str">
        <f t="shared" si="4"/>
        <v>หมวดค่าตอบแทน ใช้สอยและวัสดุ</v>
      </c>
      <c r="C29" s="96" t="str">
        <f t="shared" si="2"/>
        <v/>
      </c>
      <c r="D29" s="123"/>
      <c r="E29" s="124"/>
      <c r="F29" s="125">
        <v>2100101004</v>
      </c>
      <c r="G29" s="124"/>
      <c r="H29" s="126" t="s">
        <v>290</v>
      </c>
      <c r="I29" s="127"/>
      <c r="J29" s="127"/>
      <c r="K29" s="127"/>
      <c r="N29" s="105" t="str">
        <f t="shared" si="0"/>
        <v>No</v>
      </c>
    </row>
    <row r="30" spans="1:14" hidden="1">
      <c r="A30" s="96">
        <f t="shared" si="1"/>
        <v>8</v>
      </c>
      <c r="B30" s="96" t="str">
        <f t="shared" si="4"/>
        <v>หมวดค่าตอบแทน ใช้สอยและวัสดุ</v>
      </c>
      <c r="C30" s="96" t="str">
        <f t="shared" si="2"/>
        <v/>
      </c>
      <c r="D30" s="123"/>
      <c r="E30" s="124"/>
      <c r="F30" s="125">
        <v>2100101005</v>
      </c>
      <c r="G30" s="124"/>
      <c r="H30" s="126" t="s">
        <v>291</v>
      </c>
      <c r="I30" s="127"/>
      <c r="J30" s="127"/>
      <c r="K30" s="127"/>
      <c r="N30" s="105" t="str">
        <f t="shared" si="0"/>
        <v>No</v>
      </c>
    </row>
    <row r="31" spans="1:14" hidden="1">
      <c r="A31" s="96">
        <f t="shared" si="1"/>
        <v>8</v>
      </c>
      <c r="B31" s="96" t="str">
        <f t="shared" si="4"/>
        <v>หมวดค่าตอบแทน ใช้สอยและวัสดุ</v>
      </c>
      <c r="C31" s="96" t="str">
        <f t="shared" si="2"/>
        <v/>
      </c>
      <c r="D31" s="123"/>
      <c r="E31" s="124"/>
      <c r="F31" s="125">
        <v>2100101008</v>
      </c>
      <c r="G31" s="124"/>
      <c r="H31" s="126" t="s">
        <v>289</v>
      </c>
      <c r="I31" s="127"/>
      <c r="J31" s="127"/>
      <c r="K31" s="127"/>
      <c r="N31" s="105" t="str">
        <f t="shared" si="0"/>
        <v>No</v>
      </c>
    </row>
    <row r="32" spans="1:14" hidden="1">
      <c r="A32" s="96">
        <f t="shared" si="1"/>
        <v>8</v>
      </c>
      <c r="B32" s="96" t="str">
        <f t="shared" si="4"/>
        <v>หมวดค่าตอบแทน ใช้สอยและวัสดุ</v>
      </c>
      <c r="C32" s="96" t="str">
        <f t="shared" si="2"/>
        <v/>
      </c>
      <c r="D32" s="123"/>
      <c r="E32" s="124"/>
      <c r="F32" s="125">
        <v>2100103001</v>
      </c>
      <c r="G32" s="124"/>
      <c r="H32" s="126" t="s">
        <v>99</v>
      </c>
      <c r="I32" s="127"/>
      <c r="J32" s="127"/>
      <c r="K32" s="127"/>
      <c r="N32" s="105" t="str">
        <f t="shared" si="0"/>
        <v>No</v>
      </c>
    </row>
    <row r="33" spans="1:14" hidden="1">
      <c r="A33" s="96">
        <f t="shared" si="1"/>
        <v>8</v>
      </c>
      <c r="B33" s="96" t="str">
        <f t="shared" si="4"/>
        <v>หมวดค่าตอบแทน ใช้สอยและวัสดุ</v>
      </c>
      <c r="C33" s="96" t="str">
        <f t="shared" si="2"/>
        <v/>
      </c>
      <c r="D33" s="123"/>
      <c r="E33" s="124"/>
      <c r="F33" s="125">
        <v>2100103006</v>
      </c>
      <c r="G33" s="124"/>
      <c r="H33" s="126" t="s">
        <v>292</v>
      </c>
      <c r="I33" s="127"/>
      <c r="J33" s="127"/>
      <c r="K33" s="127"/>
      <c r="N33" s="105" t="str">
        <f t="shared" si="0"/>
        <v>No</v>
      </c>
    </row>
    <row r="34" spans="1:14" hidden="1">
      <c r="A34" s="96">
        <f t="shared" si="1"/>
        <v>8</v>
      </c>
      <c r="B34" s="96" t="str">
        <f t="shared" si="4"/>
        <v>หมวดค่าตอบแทน ใช้สอยและวัสดุ</v>
      </c>
      <c r="C34" s="96" t="str">
        <f t="shared" si="2"/>
        <v/>
      </c>
      <c r="D34" s="123"/>
      <c r="E34" s="124"/>
      <c r="F34" s="125">
        <v>2100103007</v>
      </c>
      <c r="G34" s="124"/>
      <c r="H34" s="126" t="s">
        <v>292</v>
      </c>
      <c r="I34" s="127"/>
      <c r="J34" s="127"/>
      <c r="K34" s="127"/>
      <c r="N34" s="105" t="str">
        <f t="shared" si="0"/>
        <v>No</v>
      </c>
    </row>
    <row r="35" spans="1:14" hidden="1">
      <c r="A35" s="96">
        <f t="shared" ref="A35:A41" si="5">IF(OR(SUM(I35:K35)=0,F35=""),A34,A34+1)</f>
        <v>8</v>
      </c>
      <c r="B35" s="96" t="str">
        <f t="shared" ref="B35:B41" si="6">B34</f>
        <v>หมวดค่าตอบแทน ใช้สอยและวัสดุ</v>
      </c>
      <c r="C35" s="96" t="str">
        <f t="shared" ref="C35:C41" si="7">IF(A35&lt;&gt;A34,A35&amp;"_"&amp;B35,"")</f>
        <v/>
      </c>
      <c r="D35" s="123"/>
      <c r="E35" s="124"/>
      <c r="F35" s="125">
        <v>2100102001</v>
      </c>
      <c r="G35" s="135"/>
      <c r="H35" s="136" t="s">
        <v>100</v>
      </c>
      <c r="I35" s="127"/>
      <c r="J35" s="127"/>
      <c r="K35" s="127"/>
      <c r="N35" s="105" t="str">
        <f t="shared" si="0"/>
        <v>No</v>
      </c>
    </row>
    <row r="36" spans="1:14" hidden="1">
      <c r="A36" s="96">
        <f t="shared" si="5"/>
        <v>8</v>
      </c>
      <c r="B36" s="96" t="str">
        <f t="shared" si="6"/>
        <v>หมวดค่าตอบแทน ใช้สอยและวัสดุ</v>
      </c>
      <c r="C36" s="96" t="str">
        <f t="shared" si="7"/>
        <v/>
      </c>
      <c r="D36" s="123"/>
      <c r="E36" s="124"/>
      <c r="F36" s="125">
        <v>2100102002</v>
      </c>
      <c r="G36" s="135"/>
      <c r="H36" s="136" t="s">
        <v>101</v>
      </c>
      <c r="I36" s="127"/>
      <c r="J36" s="127"/>
      <c r="K36" s="127"/>
      <c r="N36" s="105" t="str">
        <f t="shared" si="0"/>
        <v>No</v>
      </c>
    </row>
    <row r="37" spans="1:14" hidden="1">
      <c r="A37" s="96">
        <f t="shared" si="5"/>
        <v>8</v>
      </c>
      <c r="B37" s="96" t="str">
        <f t="shared" si="6"/>
        <v>หมวดค่าตอบแทน ใช้สอยและวัสดุ</v>
      </c>
      <c r="C37" s="96" t="str">
        <f t="shared" si="7"/>
        <v/>
      </c>
      <c r="D37" s="123"/>
      <c r="E37" s="124"/>
      <c r="F37" s="125">
        <v>2100103008</v>
      </c>
      <c r="G37" s="124"/>
      <c r="H37" s="126" t="s">
        <v>102</v>
      </c>
      <c r="I37" s="127"/>
      <c r="J37" s="127"/>
      <c r="K37" s="127"/>
      <c r="N37" s="105" t="str">
        <f t="shared" si="0"/>
        <v>No</v>
      </c>
    </row>
    <row r="38" spans="1:14" hidden="1">
      <c r="A38" s="96">
        <f t="shared" si="5"/>
        <v>8</v>
      </c>
      <c r="B38" s="96" t="str">
        <f t="shared" si="6"/>
        <v>หมวดค่าตอบแทน ใช้สอยและวัสดุ</v>
      </c>
      <c r="C38" s="96" t="str">
        <f t="shared" si="7"/>
        <v/>
      </c>
      <c r="D38" s="137"/>
      <c r="E38" s="138"/>
      <c r="F38" s="139">
        <v>2100106001</v>
      </c>
      <c r="G38" s="138"/>
      <c r="H38" s="140" t="s">
        <v>103</v>
      </c>
      <c r="I38" s="127"/>
      <c r="J38" s="127"/>
      <c r="K38" s="127"/>
      <c r="N38" s="105" t="str">
        <f t="shared" si="0"/>
        <v>No</v>
      </c>
    </row>
    <row r="39" spans="1:14">
      <c r="A39" s="96">
        <f t="shared" si="5"/>
        <v>8</v>
      </c>
      <c r="B39" s="96" t="str">
        <f t="shared" si="6"/>
        <v>หมวดค่าตอบแทน ใช้สอยและวัสดุ</v>
      </c>
      <c r="C39" s="96" t="str">
        <f t="shared" si="7"/>
        <v/>
      </c>
      <c r="D39" s="141"/>
      <c r="E39" s="142"/>
      <c r="F39" s="142"/>
      <c r="G39" s="142"/>
      <c r="H39" s="142" t="s">
        <v>104</v>
      </c>
      <c r="I39" s="143">
        <f>I9+I17+I25</f>
        <v>0</v>
      </c>
      <c r="J39" s="143">
        <f>J9+J17+J25</f>
        <v>11010.75</v>
      </c>
      <c r="K39" s="143">
        <f>K9+K17+K25</f>
        <v>18220.97</v>
      </c>
      <c r="M39" s="104" t="s">
        <v>42</v>
      </c>
      <c r="N39" s="105" t="str">
        <f t="shared" si="0"/>
        <v>Yes</v>
      </c>
    </row>
    <row r="40" spans="1:14">
      <c r="A40" s="96">
        <f t="shared" si="5"/>
        <v>8</v>
      </c>
      <c r="B40" s="96" t="str">
        <f t="shared" si="6"/>
        <v>หมวดค่าตอบแทน ใช้สอยและวัสดุ</v>
      </c>
      <c r="C40" s="96" t="str">
        <f t="shared" si="7"/>
        <v/>
      </c>
      <c r="D40" s="144"/>
      <c r="E40" s="113"/>
      <c r="F40" s="145"/>
      <c r="G40" s="145"/>
      <c r="H40" s="145" t="s">
        <v>105</v>
      </c>
      <c r="I40" s="146"/>
      <c r="J40" s="147"/>
      <c r="K40" s="147"/>
      <c r="M40" s="104" t="s">
        <v>42</v>
      </c>
      <c r="N40" s="105" t="str">
        <f t="shared" si="0"/>
        <v>Yes</v>
      </c>
    </row>
    <row r="41" spans="1:14">
      <c r="A41" s="96">
        <f t="shared" si="5"/>
        <v>8</v>
      </c>
      <c r="B41" s="96" t="str">
        <f t="shared" si="6"/>
        <v>หมวดค่าตอบแทน ใช้สอยและวัสดุ</v>
      </c>
      <c r="C41" s="96" t="str">
        <f t="shared" si="7"/>
        <v/>
      </c>
      <c r="D41" s="130"/>
      <c r="E41" s="131"/>
      <c r="F41" s="132"/>
      <c r="G41" s="132"/>
      <c r="H41" s="133" t="s">
        <v>52</v>
      </c>
      <c r="I41" s="134"/>
      <c r="J41" s="134"/>
      <c r="K41" s="134"/>
      <c r="M41" s="104" t="s">
        <v>42</v>
      </c>
      <c r="N41" s="105" t="str">
        <f t="shared" si="0"/>
        <v>Yes</v>
      </c>
    </row>
    <row r="42" spans="1:14">
      <c r="A42" s="96">
        <f t="shared" ref="A42:A106" si="8">IF(OR(SUM(I42:K42)=0,F42=""),A41,A41+1)</f>
        <v>8</v>
      </c>
      <c r="B42" s="96" t="s">
        <v>58</v>
      </c>
      <c r="C42" s="96" t="str">
        <f t="shared" ref="C42:C94" si="9">IF(A42&lt;&gt;A41,A42&amp;"_"&amp;B42,"")</f>
        <v/>
      </c>
      <c r="D42" s="148"/>
      <c r="E42" s="149"/>
      <c r="F42" s="150"/>
      <c r="G42" s="150"/>
      <c r="H42" s="121" t="s">
        <v>58</v>
      </c>
      <c r="I42" s="151">
        <f>SUM(I43:I45)</f>
        <v>0</v>
      </c>
      <c r="J42" s="151">
        <f>SUM(J43:J45)</f>
        <v>0</v>
      </c>
      <c r="K42" s="151">
        <f>SUM(K43:K45)</f>
        <v>0</v>
      </c>
      <c r="M42" s="104" t="s">
        <v>42</v>
      </c>
      <c r="N42" s="105" t="str">
        <f t="shared" si="0"/>
        <v>Yes</v>
      </c>
    </row>
    <row r="43" spans="1:14" hidden="1">
      <c r="A43" s="96">
        <f t="shared" si="8"/>
        <v>8</v>
      </c>
      <c r="B43" s="96" t="str">
        <f t="shared" ref="B43:B96" si="10">B42</f>
        <v>หมวดค่าตอบแทน</v>
      </c>
      <c r="C43" s="96" t="str">
        <f t="shared" si="9"/>
        <v/>
      </c>
      <c r="D43" s="152"/>
      <c r="E43" s="386"/>
      <c r="F43" s="125">
        <v>2100101001</v>
      </c>
      <c r="G43" s="135"/>
      <c r="H43" s="126" t="s">
        <v>106</v>
      </c>
      <c r="I43" s="127"/>
      <c r="J43" s="127"/>
      <c r="K43" s="127"/>
      <c r="N43" s="105" t="str">
        <f t="shared" si="0"/>
        <v>No</v>
      </c>
    </row>
    <row r="44" spans="1:14" hidden="1">
      <c r="A44" s="96">
        <f t="shared" si="8"/>
        <v>8</v>
      </c>
      <c r="B44" s="96" t="str">
        <f t="shared" si="10"/>
        <v>หมวดค่าตอบแทน</v>
      </c>
      <c r="C44" s="96" t="str">
        <f t="shared" si="9"/>
        <v/>
      </c>
      <c r="D44" s="152"/>
      <c r="E44" s="153"/>
      <c r="F44" s="125">
        <v>2100101001</v>
      </c>
      <c r="G44" s="135"/>
      <c r="H44" s="126" t="s">
        <v>106</v>
      </c>
      <c r="I44" s="127"/>
      <c r="J44" s="127"/>
      <c r="K44" s="127"/>
      <c r="N44" s="105" t="str">
        <f t="shared" si="0"/>
        <v>No</v>
      </c>
    </row>
    <row r="45" spans="1:14" hidden="1">
      <c r="A45" s="96">
        <f t="shared" si="8"/>
        <v>8</v>
      </c>
      <c r="B45" s="96" t="str">
        <f t="shared" si="10"/>
        <v>หมวดค่าตอบแทน</v>
      </c>
      <c r="C45" s="96" t="str">
        <f t="shared" si="9"/>
        <v/>
      </c>
      <c r="D45" s="152"/>
      <c r="E45" s="153"/>
      <c r="F45" s="125">
        <v>2100101001</v>
      </c>
      <c r="G45" s="135"/>
      <c r="H45" s="126" t="s">
        <v>106</v>
      </c>
      <c r="I45" s="127"/>
      <c r="J45" s="127"/>
      <c r="K45" s="127"/>
      <c r="N45" s="105" t="str">
        <f t="shared" si="0"/>
        <v>No</v>
      </c>
    </row>
    <row r="46" spans="1:14">
      <c r="A46" s="96">
        <f t="shared" si="8"/>
        <v>8</v>
      </c>
      <c r="B46" s="96" t="s">
        <v>238</v>
      </c>
      <c r="C46" s="96" t="str">
        <f t="shared" si="9"/>
        <v/>
      </c>
      <c r="D46" s="128"/>
      <c r="E46" s="120"/>
      <c r="F46" s="120"/>
      <c r="G46" s="120"/>
      <c r="H46" s="121" t="s">
        <v>238</v>
      </c>
      <c r="I46" s="122">
        <f>SUM(I47:I48)</f>
        <v>0</v>
      </c>
      <c r="J46" s="122">
        <f>SUM(J47:J48)</f>
        <v>0</v>
      </c>
      <c r="K46" s="122">
        <f>SUM(K47:K48)</f>
        <v>0</v>
      </c>
      <c r="N46" s="105"/>
    </row>
    <row r="47" spans="1:14" hidden="1">
      <c r="A47" s="96">
        <f t="shared" si="8"/>
        <v>8</v>
      </c>
      <c r="B47" s="96" t="str">
        <f>B46</f>
        <v>หมวดค่าใช้สอย (ค่าเช่าสำนักงาน)</v>
      </c>
      <c r="C47" s="96" t="str">
        <f t="shared" si="9"/>
        <v/>
      </c>
      <c r="D47" s="123"/>
      <c r="E47" s="124"/>
      <c r="F47" s="125">
        <v>2200103023</v>
      </c>
      <c r="G47" s="124"/>
      <c r="H47" s="154" t="s">
        <v>132</v>
      </c>
      <c r="I47" s="127"/>
      <c r="J47" s="127"/>
      <c r="K47" s="127"/>
      <c r="N47" s="105" t="str">
        <f>IF(M47&lt;&gt;"",M47,IF(SUM(I47:K47)&lt;&gt;0,"Yes","No"))</f>
        <v>No</v>
      </c>
    </row>
    <row r="48" spans="1:14" hidden="1">
      <c r="A48" s="96">
        <f t="shared" ref="A48" si="11">IF(OR(SUM(I48:K48)=0,F48=""),A47,A47+1)</f>
        <v>8</v>
      </c>
      <c r="B48" s="96" t="str">
        <f>B47</f>
        <v>หมวดค่าใช้สอย (ค่าเช่าสำนักงาน)</v>
      </c>
      <c r="C48" s="96" t="str">
        <f t="shared" ref="C48" si="12">IF(A48&lt;&gt;A47,A48&amp;"_"&amp;B48,"")</f>
        <v/>
      </c>
      <c r="D48" s="123"/>
      <c r="E48" s="124"/>
      <c r="F48" s="125">
        <v>2200103029</v>
      </c>
      <c r="G48" s="124"/>
      <c r="H48" s="154" t="s">
        <v>136</v>
      </c>
      <c r="I48" s="127"/>
      <c r="J48" s="127"/>
      <c r="K48" s="127"/>
      <c r="N48" s="105" t="str">
        <f>IF(M48&lt;&gt;"",M48,IF(SUM(I48:K48)&lt;&gt;0,"Yes","No"))</f>
        <v>No</v>
      </c>
    </row>
    <row r="49" spans="1:14">
      <c r="A49" s="96">
        <f t="shared" si="8"/>
        <v>8</v>
      </c>
      <c r="B49" s="96" t="s">
        <v>59</v>
      </c>
      <c r="C49" s="96" t="str">
        <f t="shared" si="9"/>
        <v/>
      </c>
      <c r="D49" s="128"/>
      <c r="E49" s="120"/>
      <c r="F49" s="120"/>
      <c r="G49" s="120"/>
      <c r="H49" s="121" t="s">
        <v>59</v>
      </c>
      <c r="I49" s="122">
        <f>SUM(I50:I87)</f>
        <v>0</v>
      </c>
      <c r="J49" s="122">
        <f>SUM(J50:J87)</f>
        <v>0</v>
      </c>
      <c r="K49" s="122">
        <f>SUM(K50:K87)</f>
        <v>44103.48</v>
      </c>
      <c r="L49" s="155"/>
      <c r="M49" s="104" t="s">
        <v>42</v>
      </c>
      <c r="N49" s="105" t="str">
        <f t="shared" si="0"/>
        <v>Yes</v>
      </c>
    </row>
    <row r="50" spans="1:14" hidden="1">
      <c r="A50" s="96">
        <f t="shared" si="8"/>
        <v>8</v>
      </c>
      <c r="B50" s="96" t="str">
        <f t="shared" si="10"/>
        <v>หมวดค่าใช้สอย</v>
      </c>
      <c r="C50" s="96" t="str">
        <f t="shared" si="9"/>
        <v/>
      </c>
      <c r="D50" s="123"/>
      <c r="E50" s="124"/>
      <c r="F50" s="125">
        <v>2200101002</v>
      </c>
      <c r="G50" s="124"/>
      <c r="H50" s="154" t="s">
        <v>107</v>
      </c>
      <c r="I50" s="127"/>
      <c r="J50" s="127"/>
      <c r="K50" s="127"/>
      <c r="N50" s="105" t="str">
        <f t="shared" si="0"/>
        <v>No</v>
      </c>
    </row>
    <row r="51" spans="1:14" hidden="1">
      <c r="A51" s="96">
        <f t="shared" si="8"/>
        <v>8</v>
      </c>
      <c r="B51" s="96" t="str">
        <f t="shared" si="10"/>
        <v>หมวดค่าใช้สอย</v>
      </c>
      <c r="C51" s="96" t="str">
        <f t="shared" si="9"/>
        <v/>
      </c>
      <c r="D51" s="123"/>
      <c r="E51" s="124"/>
      <c r="F51" s="125">
        <v>2200101003</v>
      </c>
      <c r="G51" s="124"/>
      <c r="H51" s="154" t="s">
        <v>108</v>
      </c>
      <c r="I51" s="127"/>
      <c r="J51" s="127"/>
      <c r="K51" s="127"/>
      <c r="N51" s="105" t="str">
        <f t="shared" si="0"/>
        <v>No</v>
      </c>
    </row>
    <row r="52" spans="1:14" hidden="1">
      <c r="A52" s="96">
        <f t="shared" si="8"/>
        <v>8</v>
      </c>
      <c r="B52" s="96" t="str">
        <f t="shared" si="10"/>
        <v>หมวดค่าใช้สอย</v>
      </c>
      <c r="C52" s="96" t="str">
        <f t="shared" si="9"/>
        <v/>
      </c>
      <c r="D52" s="123"/>
      <c r="E52" s="124"/>
      <c r="F52" s="125">
        <v>2200101004</v>
      </c>
      <c r="G52" s="124"/>
      <c r="H52" s="154" t="s">
        <v>109</v>
      </c>
      <c r="I52" s="127"/>
      <c r="J52" s="127"/>
      <c r="K52" s="127"/>
      <c r="N52" s="105" t="str">
        <f t="shared" si="0"/>
        <v>No</v>
      </c>
    </row>
    <row r="53" spans="1:14" hidden="1">
      <c r="A53" s="96">
        <f t="shared" si="8"/>
        <v>8</v>
      </c>
      <c r="B53" s="96" t="str">
        <f t="shared" si="10"/>
        <v>หมวดค่าใช้สอย</v>
      </c>
      <c r="C53" s="96" t="str">
        <f t="shared" si="9"/>
        <v/>
      </c>
      <c r="D53" s="123"/>
      <c r="E53" s="124"/>
      <c r="F53" s="125">
        <v>2200102001</v>
      </c>
      <c r="G53" s="124"/>
      <c r="H53" s="154" t="s">
        <v>110</v>
      </c>
      <c r="I53" s="127"/>
      <c r="J53" s="127"/>
      <c r="K53" s="127"/>
      <c r="N53" s="105" t="str">
        <f t="shared" si="0"/>
        <v>No</v>
      </c>
    </row>
    <row r="54" spans="1:14" hidden="1">
      <c r="A54" s="96">
        <f t="shared" si="8"/>
        <v>8</v>
      </c>
      <c r="B54" s="96" t="str">
        <f t="shared" si="10"/>
        <v>หมวดค่าใช้สอย</v>
      </c>
      <c r="C54" s="96" t="str">
        <f t="shared" si="9"/>
        <v/>
      </c>
      <c r="D54" s="123"/>
      <c r="E54" s="124"/>
      <c r="F54" s="125">
        <v>2200102002</v>
      </c>
      <c r="G54" s="124"/>
      <c r="H54" s="154" t="s">
        <v>111</v>
      </c>
      <c r="I54" s="127"/>
      <c r="J54" s="127"/>
      <c r="K54" s="127"/>
      <c r="N54" s="105" t="str">
        <f t="shared" si="0"/>
        <v>No</v>
      </c>
    </row>
    <row r="55" spans="1:14" hidden="1">
      <c r="A55" s="96">
        <f t="shared" si="8"/>
        <v>8</v>
      </c>
      <c r="B55" s="96" t="str">
        <f t="shared" si="10"/>
        <v>หมวดค่าใช้สอย</v>
      </c>
      <c r="C55" s="96" t="str">
        <f t="shared" si="9"/>
        <v/>
      </c>
      <c r="D55" s="123"/>
      <c r="E55" s="124"/>
      <c r="F55" s="125">
        <v>2200102003</v>
      </c>
      <c r="G55" s="124"/>
      <c r="H55" s="154" t="s">
        <v>112</v>
      </c>
      <c r="I55" s="127"/>
      <c r="J55" s="127"/>
      <c r="K55" s="127"/>
      <c r="N55" s="105" t="str">
        <f t="shared" si="0"/>
        <v>No</v>
      </c>
    </row>
    <row r="56" spans="1:14" hidden="1">
      <c r="A56" s="96">
        <f t="shared" si="8"/>
        <v>8</v>
      </c>
      <c r="B56" s="96" t="str">
        <f t="shared" si="10"/>
        <v>หมวดค่าใช้สอย</v>
      </c>
      <c r="C56" s="96" t="str">
        <f t="shared" si="9"/>
        <v/>
      </c>
      <c r="D56" s="123"/>
      <c r="E56" s="124"/>
      <c r="F56" s="125">
        <v>2200103002</v>
      </c>
      <c r="G56" s="124"/>
      <c r="H56" s="154" t="s">
        <v>113</v>
      </c>
      <c r="I56" s="127"/>
      <c r="J56" s="127"/>
      <c r="K56" s="127"/>
      <c r="N56" s="105" t="str">
        <f t="shared" si="0"/>
        <v>No</v>
      </c>
    </row>
    <row r="57" spans="1:14" hidden="1">
      <c r="A57" s="96">
        <f t="shared" si="8"/>
        <v>8</v>
      </c>
      <c r="B57" s="96" t="str">
        <f t="shared" si="10"/>
        <v>หมวดค่าใช้สอย</v>
      </c>
      <c r="C57" s="96" t="str">
        <f t="shared" si="9"/>
        <v/>
      </c>
      <c r="D57" s="123"/>
      <c r="E57" s="124"/>
      <c r="F57" s="125">
        <v>2200103003</v>
      </c>
      <c r="G57" s="124"/>
      <c r="H57" s="154" t="s">
        <v>114</v>
      </c>
      <c r="I57" s="127"/>
      <c r="J57" s="127"/>
      <c r="K57" s="127"/>
      <c r="N57" s="105" t="str">
        <f t="shared" si="0"/>
        <v>No</v>
      </c>
    </row>
    <row r="58" spans="1:14">
      <c r="A58" s="96">
        <f t="shared" si="8"/>
        <v>9</v>
      </c>
      <c r="B58" s="96" t="str">
        <f t="shared" si="10"/>
        <v>หมวดค่าใช้สอย</v>
      </c>
      <c r="C58" s="96" t="str">
        <f t="shared" si="9"/>
        <v>9_หมวดค่าใช้สอย</v>
      </c>
      <c r="D58" s="123" t="s">
        <v>305</v>
      </c>
      <c r="E58" s="370" t="s">
        <v>314</v>
      </c>
      <c r="F58" s="125">
        <v>2200103004</v>
      </c>
      <c r="G58" s="124"/>
      <c r="H58" s="154" t="s">
        <v>115</v>
      </c>
      <c r="I58" s="127"/>
      <c r="J58" s="127"/>
      <c r="K58" s="127">
        <v>500</v>
      </c>
      <c r="N58" s="105" t="str">
        <f t="shared" si="0"/>
        <v>Yes</v>
      </c>
    </row>
    <row r="59" spans="1:14" hidden="1">
      <c r="A59" s="96">
        <f t="shared" si="8"/>
        <v>9</v>
      </c>
      <c r="B59" s="96" t="str">
        <f t="shared" si="10"/>
        <v>หมวดค่าใช้สอย</v>
      </c>
      <c r="C59" s="96" t="str">
        <f t="shared" si="9"/>
        <v/>
      </c>
      <c r="D59" s="123"/>
      <c r="E59" s="124"/>
      <c r="F59" s="125">
        <v>2200103006</v>
      </c>
      <c r="G59" s="124"/>
      <c r="H59" s="154" t="s">
        <v>116</v>
      </c>
      <c r="I59" s="127"/>
      <c r="J59" s="127"/>
      <c r="K59" s="127"/>
      <c r="N59" s="105" t="str">
        <f t="shared" si="0"/>
        <v>No</v>
      </c>
    </row>
    <row r="60" spans="1:14">
      <c r="A60" s="96">
        <f t="shared" si="8"/>
        <v>10</v>
      </c>
      <c r="B60" s="96" t="str">
        <f t="shared" si="10"/>
        <v>หมวดค่าใช้สอย</v>
      </c>
      <c r="C60" s="96" t="str">
        <f t="shared" si="9"/>
        <v>10_หมวดค่าใช้สอย</v>
      </c>
      <c r="D60" s="123" t="s">
        <v>305</v>
      </c>
      <c r="E60" s="283" t="s">
        <v>315</v>
      </c>
      <c r="F60" s="125">
        <v>2200103007</v>
      </c>
      <c r="G60" s="124"/>
      <c r="H60" s="154" t="s">
        <v>117</v>
      </c>
      <c r="I60" s="127"/>
      <c r="J60" s="127"/>
      <c r="K60" s="127">
        <v>39603.480000000003</v>
      </c>
      <c r="N60" s="105" t="str">
        <f t="shared" si="0"/>
        <v>Yes</v>
      </c>
    </row>
    <row r="61" spans="1:14" hidden="1">
      <c r="A61" s="96">
        <f t="shared" si="8"/>
        <v>10</v>
      </c>
      <c r="B61" s="96" t="str">
        <f t="shared" si="10"/>
        <v>หมวดค่าใช้สอย</v>
      </c>
      <c r="C61" s="96" t="str">
        <f t="shared" si="9"/>
        <v/>
      </c>
      <c r="D61" s="123"/>
      <c r="E61" s="124"/>
      <c r="F61" s="125">
        <v>2200103008</v>
      </c>
      <c r="G61" s="124"/>
      <c r="H61" s="154" t="s">
        <v>118</v>
      </c>
      <c r="I61" s="127"/>
      <c r="J61" s="127"/>
      <c r="K61" s="127"/>
      <c r="N61" s="105" t="str">
        <f t="shared" si="0"/>
        <v>No</v>
      </c>
    </row>
    <row r="62" spans="1:14" hidden="1">
      <c r="A62" s="96">
        <f t="shared" si="8"/>
        <v>10</v>
      </c>
      <c r="B62" s="96" t="str">
        <f t="shared" si="10"/>
        <v>หมวดค่าใช้สอย</v>
      </c>
      <c r="C62" s="96" t="str">
        <f t="shared" si="9"/>
        <v/>
      </c>
      <c r="D62" s="123"/>
      <c r="E62" s="124"/>
      <c r="F62" s="125">
        <v>2200103009</v>
      </c>
      <c r="G62" s="124"/>
      <c r="H62" s="154" t="s">
        <v>119</v>
      </c>
      <c r="I62" s="127"/>
      <c r="J62" s="127"/>
      <c r="K62" s="127"/>
      <c r="N62" s="105" t="str">
        <f t="shared" si="0"/>
        <v>No</v>
      </c>
    </row>
    <row r="63" spans="1:14" hidden="1">
      <c r="A63" s="96">
        <f t="shared" si="8"/>
        <v>10</v>
      </c>
      <c r="B63" s="96" t="str">
        <f t="shared" si="10"/>
        <v>หมวดค่าใช้สอย</v>
      </c>
      <c r="C63" s="96" t="str">
        <f t="shared" si="9"/>
        <v/>
      </c>
      <c r="D63" s="123"/>
      <c r="E63" s="124"/>
      <c r="F63" s="125">
        <v>2200103010</v>
      </c>
      <c r="G63" s="124"/>
      <c r="H63" s="154" t="s">
        <v>120</v>
      </c>
      <c r="I63" s="127"/>
      <c r="J63" s="127"/>
      <c r="K63" s="127"/>
      <c r="N63" s="105" t="str">
        <f t="shared" si="0"/>
        <v>No</v>
      </c>
    </row>
    <row r="64" spans="1:14">
      <c r="A64" s="96">
        <f t="shared" si="8"/>
        <v>11</v>
      </c>
      <c r="B64" s="96" t="str">
        <f t="shared" si="10"/>
        <v>หมวดค่าใช้สอย</v>
      </c>
      <c r="C64" s="96" t="str">
        <f t="shared" si="9"/>
        <v>11_หมวดค่าใช้สอย</v>
      </c>
      <c r="D64" s="123" t="s">
        <v>305</v>
      </c>
      <c r="E64" s="124">
        <v>8</v>
      </c>
      <c r="F64" s="125">
        <v>2200103012</v>
      </c>
      <c r="G64" s="124"/>
      <c r="H64" s="154" t="s">
        <v>121</v>
      </c>
      <c r="I64" s="127"/>
      <c r="J64" s="127"/>
      <c r="K64" s="127">
        <v>4000</v>
      </c>
      <c r="N64" s="105" t="str">
        <f t="shared" si="0"/>
        <v>Yes</v>
      </c>
    </row>
    <row r="65" spans="1:14" hidden="1">
      <c r="A65" s="96">
        <f t="shared" si="8"/>
        <v>11</v>
      </c>
      <c r="B65" s="96" t="str">
        <f t="shared" si="10"/>
        <v>หมวดค่าใช้สอย</v>
      </c>
      <c r="C65" s="96" t="str">
        <f t="shared" si="9"/>
        <v/>
      </c>
      <c r="D65" s="123"/>
      <c r="E65" s="124"/>
      <c r="F65" s="125">
        <v>2200103013</v>
      </c>
      <c r="G65" s="124"/>
      <c r="H65" s="154" t="s">
        <v>122</v>
      </c>
      <c r="I65" s="127"/>
      <c r="J65" s="127"/>
      <c r="K65" s="127"/>
      <c r="N65" s="105" t="str">
        <f t="shared" si="0"/>
        <v>No</v>
      </c>
    </row>
    <row r="66" spans="1:14" hidden="1">
      <c r="A66" s="96">
        <f t="shared" si="8"/>
        <v>11</v>
      </c>
      <c r="B66" s="96" t="str">
        <f t="shared" si="10"/>
        <v>หมวดค่าใช้สอย</v>
      </c>
      <c r="C66" s="96" t="str">
        <f t="shared" si="9"/>
        <v/>
      </c>
      <c r="D66" s="123"/>
      <c r="E66" s="124"/>
      <c r="F66" s="125">
        <v>2200103014</v>
      </c>
      <c r="G66" s="124"/>
      <c r="H66" s="154" t="s">
        <v>123</v>
      </c>
      <c r="I66" s="127"/>
      <c r="J66" s="127"/>
      <c r="K66" s="127"/>
      <c r="N66" s="105" t="str">
        <f t="shared" si="0"/>
        <v>No</v>
      </c>
    </row>
    <row r="67" spans="1:14" hidden="1">
      <c r="A67" s="96">
        <f t="shared" si="8"/>
        <v>11</v>
      </c>
      <c r="B67" s="96" t="str">
        <f t="shared" si="10"/>
        <v>หมวดค่าใช้สอย</v>
      </c>
      <c r="C67" s="96" t="str">
        <f t="shared" si="9"/>
        <v/>
      </c>
      <c r="D67" s="123"/>
      <c r="E67" s="124"/>
      <c r="F67" s="125">
        <v>2200103015</v>
      </c>
      <c r="G67" s="124"/>
      <c r="H67" s="154" t="s">
        <v>124</v>
      </c>
      <c r="I67" s="127"/>
      <c r="J67" s="127"/>
      <c r="K67" s="127"/>
      <c r="N67" s="105" t="str">
        <f t="shared" si="0"/>
        <v>No</v>
      </c>
    </row>
    <row r="68" spans="1:14" hidden="1">
      <c r="A68" s="96">
        <f t="shared" si="8"/>
        <v>11</v>
      </c>
      <c r="B68" s="96" t="str">
        <f t="shared" si="10"/>
        <v>หมวดค่าใช้สอย</v>
      </c>
      <c r="C68" s="96" t="str">
        <f t="shared" si="9"/>
        <v/>
      </c>
      <c r="D68" s="123"/>
      <c r="E68" s="124"/>
      <c r="F68" s="125">
        <v>2200103017</v>
      </c>
      <c r="G68" s="124"/>
      <c r="H68" s="154" t="s">
        <v>126</v>
      </c>
      <c r="I68" s="127"/>
      <c r="J68" s="127"/>
      <c r="K68" s="127"/>
      <c r="N68" s="105" t="str">
        <f t="shared" ref="N68:N144" si="13">IF(M68&lt;&gt;"",M68,IF(SUM(I68:K68)&lt;&gt;0,"Yes","No"))</f>
        <v>No</v>
      </c>
    </row>
    <row r="69" spans="1:14" hidden="1">
      <c r="A69" s="96">
        <f t="shared" si="8"/>
        <v>11</v>
      </c>
      <c r="B69" s="96" t="str">
        <f t="shared" si="10"/>
        <v>หมวดค่าใช้สอย</v>
      </c>
      <c r="C69" s="96" t="str">
        <f t="shared" si="9"/>
        <v/>
      </c>
      <c r="D69" s="123"/>
      <c r="E69" s="124"/>
      <c r="F69" s="125">
        <v>2200103018</v>
      </c>
      <c r="G69" s="124"/>
      <c r="H69" s="154" t="s">
        <v>127</v>
      </c>
      <c r="I69" s="127"/>
      <c r="J69" s="127"/>
      <c r="K69" s="127"/>
      <c r="N69" s="105" t="str">
        <f t="shared" si="13"/>
        <v>No</v>
      </c>
    </row>
    <row r="70" spans="1:14" hidden="1">
      <c r="A70" s="96">
        <f t="shared" si="8"/>
        <v>11</v>
      </c>
      <c r="B70" s="96" t="str">
        <f t="shared" si="10"/>
        <v>หมวดค่าใช้สอย</v>
      </c>
      <c r="C70" s="96" t="str">
        <f t="shared" si="9"/>
        <v/>
      </c>
      <c r="D70" s="123"/>
      <c r="E70" s="124"/>
      <c r="F70" s="125">
        <v>2200103019</v>
      </c>
      <c r="G70" s="124"/>
      <c r="H70" s="154" t="s">
        <v>128</v>
      </c>
      <c r="I70" s="127"/>
      <c r="J70" s="127"/>
      <c r="K70" s="127"/>
      <c r="N70" s="105" t="str">
        <f t="shared" si="13"/>
        <v>No</v>
      </c>
    </row>
    <row r="71" spans="1:14" hidden="1">
      <c r="A71" s="96">
        <f t="shared" si="8"/>
        <v>11</v>
      </c>
      <c r="B71" s="96" t="str">
        <f t="shared" si="10"/>
        <v>หมวดค่าใช้สอย</v>
      </c>
      <c r="C71" s="96" t="str">
        <f t="shared" si="9"/>
        <v/>
      </c>
      <c r="D71" s="123"/>
      <c r="E71" s="124"/>
      <c r="F71" s="125">
        <v>2200103020</v>
      </c>
      <c r="G71" s="124"/>
      <c r="H71" s="154" t="s">
        <v>129</v>
      </c>
      <c r="I71" s="127"/>
      <c r="J71" s="127"/>
      <c r="K71" s="127"/>
      <c r="N71" s="105" t="str">
        <f t="shared" si="13"/>
        <v>No</v>
      </c>
    </row>
    <row r="72" spans="1:14" hidden="1">
      <c r="A72" s="96">
        <f t="shared" si="8"/>
        <v>11</v>
      </c>
      <c r="B72" s="96" t="str">
        <f t="shared" si="10"/>
        <v>หมวดค่าใช้สอย</v>
      </c>
      <c r="C72" s="96" t="str">
        <f t="shared" si="9"/>
        <v/>
      </c>
      <c r="D72" s="123"/>
      <c r="E72" s="124"/>
      <c r="F72" s="125">
        <v>2200103021</v>
      </c>
      <c r="G72" s="124"/>
      <c r="H72" s="154" t="s">
        <v>130</v>
      </c>
      <c r="I72" s="127"/>
      <c r="J72" s="127"/>
      <c r="K72" s="127"/>
      <c r="N72" s="105" t="str">
        <f t="shared" si="13"/>
        <v>No</v>
      </c>
    </row>
    <row r="73" spans="1:14" hidden="1">
      <c r="A73" s="96">
        <f t="shared" si="8"/>
        <v>11</v>
      </c>
      <c r="B73" s="96" t="str">
        <f t="shared" si="10"/>
        <v>หมวดค่าใช้สอย</v>
      </c>
      <c r="C73" s="96" t="str">
        <f t="shared" si="9"/>
        <v/>
      </c>
      <c r="D73" s="123"/>
      <c r="E73" s="124"/>
      <c r="F73" s="125">
        <v>2200103022</v>
      </c>
      <c r="G73" s="124"/>
      <c r="H73" s="154" t="s">
        <v>131</v>
      </c>
      <c r="I73" s="127"/>
      <c r="J73" s="127"/>
      <c r="K73" s="127"/>
      <c r="N73" s="105" t="str">
        <f t="shared" si="13"/>
        <v>No</v>
      </c>
    </row>
    <row r="74" spans="1:14" hidden="1">
      <c r="A74" s="96">
        <f t="shared" ref="A74:A87" si="14">IF(OR(SUM(I74:K74)=0,F74=""),A73,A73+1)</f>
        <v>11</v>
      </c>
      <c r="B74" s="96" t="str">
        <f t="shared" si="10"/>
        <v>หมวดค่าใช้สอย</v>
      </c>
      <c r="C74" s="96" t="str">
        <f t="shared" ref="C74:C87" si="15">IF(A74&lt;&gt;A73,A74&amp;"_"&amp;B74,"")</f>
        <v/>
      </c>
      <c r="D74" s="123"/>
      <c r="E74" s="124"/>
      <c r="F74" s="125">
        <v>2200103026</v>
      </c>
      <c r="G74" s="124"/>
      <c r="H74" s="154" t="s">
        <v>133</v>
      </c>
      <c r="I74" s="127"/>
      <c r="J74" s="127"/>
      <c r="K74" s="127"/>
      <c r="N74" s="105" t="str">
        <f t="shared" si="13"/>
        <v>No</v>
      </c>
    </row>
    <row r="75" spans="1:14" hidden="1">
      <c r="A75" s="96">
        <f>IF(OR(SUM(I75:K75)=0,F75=""),A74,A74+1)</f>
        <v>11</v>
      </c>
      <c r="B75" s="96" t="str">
        <f>B74</f>
        <v>หมวดค่าใช้สอย</v>
      </c>
      <c r="C75" s="96" t="str">
        <f>IF(A75&lt;&gt;A74,A75&amp;"_"&amp;B75,"")</f>
        <v/>
      </c>
      <c r="D75" s="123"/>
      <c r="E75" s="124"/>
      <c r="F75" s="125">
        <v>2200103027</v>
      </c>
      <c r="G75" s="124"/>
      <c r="H75" s="154" t="s">
        <v>134</v>
      </c>
      <c r="I75" s="127"/>
      <c r="J75" s="127"/>
      <c r="K75" s="127"/>
      <c r="N75" s="105" t="str">
        <f t="shared" si="13"/>
        <v>No</v>
      </c>
    </row>
    <row r="76" spans="1:14" hidden="1">
      <c r="A76" s="96">
        <f t="shared" si="14"/>
        <v>11</v>
      </c>
      <c r="B76" s="96" t="str">
        <f t="shared" si="10"/>
        <v>หมวดค่าใช้สอย</v>
      </c>
      <c r="C76" s="96" t="str">
        <f t="shared" si="15"/>
        <v/>
      </c>
      <c r="D76" s="123"/>
      <c r="E76" s="124"/>
      <c r="F76" s="125">
        <v>2200103028</v>
      </c>
      <c r="G76" s="124"/>
      <c r="H76" s="154" t="s">
        <v>135</v>
      </c>
      <c r="I76" s="127"/>
      <c r="J76" s="127"/>
      <c r="K76" s="127"/>
      <c r="N76" s="105" t="str">
        <f t="shared" si="13"/>
        <v>No</v>
      </c>
    </row>
    <row r="77" spans="1:14" hidden="1">
      <c r="A77" s="96">
        <f t="shared" si="14"/>
        <v>11</v>
      </c>
      <c r="B77" s="96" t="str">
        <f t="shared" si="10"/>
        <v>หมวดค่าใช้สอย</v>
      </c>
      <c r="C77" s="96" t="str">
        <f t="shared" si="15"/>
        <v/>
      </c>
      <c r="D77" s="123"/>
      <c r="E77" s="124"/>
      <c r="F77" s="125">
        <v>2200103030</v>
      </c>
      <c r="G77" s="124"/>
      <c r="H77" s="154" t="s">
        <v>137</v>
      </c>
      <c r="I77" s="127"/>
      <c r="J77" s="127"/>
      <c r="K77" s="127"/>
      <c r="N77" s="105" t="str">
        <f t="shared" si="13"/>
        <v>No</v>
      </c>
    </row>
    <row r="78" spans="1:14" hidden="1">
      <c r="A78" s="96">
        <f t="shared" si="14"/>
        <v>11</v>
      </c>
      <c r="B78" s="96" t="str">
        <f t="shared" si="10"/>
        <v>หมวดค่าใช้สอย</v>
      </c>
      <c r="C78" s="96" t="str">
        <f t="shared" si="15"/>
        <v/>
      </c>
      <c r="D78" s="123"/>
      <c r="E78" s="124"/>
      <c r="F78" s="125">
        <v>2200103030</v>
      </c>
      <c r="G78" s="124"/>
      <c r="H78" s="154" t="s">
        <v>138</v>
      </c>
      <c r="I78" s="127"/>
      <c r="J78" s="127"/>
      <c r="K78" s="127"/>
      <c r="N78" s="105" t="str">
        <f t="shared" si="13"/>
        <v>No</v>
      </c>
    </row>
    <row r="79" spans="1:14" hidden="1">
      <c r="A79" s="96">
        <f t="shared" si="14"/>
        <v>11</v>
      </c>
      <c r="B79" s="96" t="str">
        <f t="shared" si="10"/>
        <v>หมวดค่าใช้สอย</v>
      </c>
      <c r="C79" s="96" t="str">
        <f t="shared" si="15"/>
        <v/>
      </c>
      <c r="D79" s="123"/>
      <c r="E79" s="124"/>
      <c r="F79" s="125">
        <v>2200103030</v>
      </c>
      <c r="G79" s="124"/>
      <c r="H79" s="154" t="s">
        <v>138</v>
      </c>
      <c r="I79" s="127"/>
      <c r="J79" s="127"/>
      <c r="K79" s="127"/>
      <c r="N79" s="105" t="str">
        <f t="shared" si="13"/>
        <v>No</v>
      </c>
    </row>
    <row r="80" spans="1:14" hidden="1">
      <c r="A80" s="96">
        <f t="shared" si="14"/>
        <v>11</v>
      </c>
      <c r="B80" s="96" t="str">
        <f t="shared" si="10"/>
        <v>หมวดค่าใช้สอย</v>
      </c>
      <c r="C80" s="96" t="str">
        <f t="shared" si="15"/>
        <v/>
      </c>
      <c r="D80" s="123"/>
      <c r="E80" s="124"/>
      <c r="F80" s="125">
        <v>2200103030</v>
      </c>
      <c r="G80" s="124"/>
      <c r="H80" s="154" t="s">
        <v>138</v>
      </c>
      <c r="I80" s="127"/>
      <c r="J80" s="127"/>
      <c r="K80" s="127"/>
      <c r="N80" s="105" t="str">
        <f t="shared" si="13"/>
        <v>No</v>
      </c>
    </row>
    <row r="81" spans="1:14" hidden="1">
      <c r="A81" s="96">
        <f t="shared" si="14"/>
        <v>11</v>
      </c>
      <c r="B81" s="96" t="str">
        <f t="shared" si="10"/>
        <v>หมวดค่าใช้สอย</v>
      </c>
      <c r="C81" s="96" t="str">
        <f t="shared" si="15"/>
        <v/>
      </c>
      <c r="D81" s="123"/>
      <c r="E81" s="124"/>
      <c r="F81" s="125">
        <v>2200103030</v>
      </c>
      <c r="G81" s="124"/>
      <c r="H81" s="154" t="s">
        <v>138</v>
      </c>
      <c r="I81" s="127"/>
      <c r="J81" s="127"/>
      <c r="K81" s="127"/>
      <c r="N81" s="105" t="str">
        <f t="shared" si="13"/>
        <v>No</v>
      </c>
    </row>
    <row r="82" spans="1:14" hidden="1">
      <c r="A82" s="96">
        <f t="shared" si="14"/>
        <v>11</v>
      </c>
      <c r="B82" s="96" t="str">
        <f t="shared" si="10"/>
        <v>หมวดค่าใช้สอย</v>
      </c>
      <c r="C82" s="96" t="str">
        <f t="shared" si="15"/>
        <v/>
      </c>
      <c r="D82" s="123"/>
      <c r="E82" s="124"/>
      <c r="F82" s="125">
        <v>2200103030</v>
      </c>
      <c r="G82" s="124"/>
      <c r="H82" s="154" t="s">
        <v>138</v>
      </c>
      <c r="I82" s="127"/>
      <c r="J82" s="127"/>
      <c r="K82" s="127"/>
      <c r="N82" s="105" t="str">
        <f t="shared" si="13"/>
        <v>No</v>
      </c>
    </row>
    <row r="83" spans="1:14" hidden="1">
      <c r="A83" s="96">
        <f t="shared" si="14"/>
        <v>11</v>
      </c>
      <c r="B83" s="96" t="str">
        <f t="shared" si="10"/>
        <v>หมวดค่าใช้สอย</v>
      </c>
      <c r="C83" s="96" t="str">
        <f t="shared" si="15"/>
        <v/>
      </c>
      <c r="D83" s="123"/>
      <c r="E83" s="124"/>
      <c r="F83" s="125">
        <v>2200103030</v>
      </c>
      <c r="G83" s="124"/>
      <c r="H83" s="154" t="s">
        <v>138</v>
      </c>
      <c r="I83" s="127"/>
      <c r="J83" s="127"/>
      <c r="K83" s="127"/>
      <c r="N83" s="105" t="str">
        <f t="shared" si="13"/>
        <v>No</v>
      </c>
    </row>
    <row r="84" spans="1:14" hidden="1">
      <c r="A84" s="96">
        <f t="shared" si="14"/>
        <v>11</v>
      </c>
      <c r="B84" s="96" t="str">
        <f t="shared" si="10"/>
        <v>หมวดค่าใช้สอย</v>
      </c>
      <c r="C84" s="96" t="str">
        <f t="shared" si="15"/>
        <v/>
      </c>
      <c r="D84" s="123"/>
      <c r="E84" s="124"/>
      <c r="F84" s="125">
        <v>2200103030</v>
      </c>
      <c r="G84" s="124"/>
      <c r="H84" s="154" t="s">
        <v>138</v>
      </c>
      <c r="I84" s="127"/>
      <c r="J84" s="127"/>
      <c r="K84" s="127"/>
      <c r="N84" s="105" t="str">
        <f t="shared" si="13"/>
        <v>No</v>
      </c>
    </row>
    <row r="85" spans="1:14" hidden="1">
      <c r="A85" s="96">
        <f t="shared" si="14"/>
        <v>11</v>
      </c>
      <c r="B85" s="96" t="str">
        <f t="shared" si="10"/>
        <v>หมวดค่าใช้สอย</v>
      </c>
      <c r="C85" s="96" t="str">
        <f t="shared" si="15"/>
        <v/>
      </c>
      <c r="D85" s="123"/>
      <c r="E85" s="124"/>
      <c r="F85" s="125">
        <v>2200103030</v>
      </c>
      <c r="G85" s="124"/>
      <c r="H85" s="154" t="s">
        <v>138</v>
      </c>
      <c r="I85" s="127"/>
      <c r="J85" s="127"/>
      <c r="K85" s="127"/>
      <c r="N85" s="105" t="str">
        <f t="shared" si="13"/>
        <v>No</v>
      </c>
    </row>
    <row r="86" spans="1:14" hidden="1">
      <c r="A86" s="96">
        <f t="shared" si="14"/>
        <v>11</v>
      </c>
      <c r="B86" s="96" t="str">
        <f t="shared" si="10"/>
        <v>หมวดค่าใช้สอย</v>
      </c>
      <c r="C86" s="96" t="str">
        <f t="shared" si="15"/>
        <v/>
      </c>
      <c r="D86" s="123"/>
      <c r="E86" s="124"/>
      <c r="F86" s="125">
        <v>2200103030</v>
      </c>
      <c r="G86" s="124"/>
      <c r="H86" s="154" t="s">
        <v>138</v>
      </c>
      <c r="I86" s="127"/>
      <c r="J86" s="127"/>
      <c r="K86" s="127"/>
      <c r="N86" s="105" t="str">
        <f t="shared" si="13"/>
        <v>No</v>
      </c>
    </row>
    <row r="87" spans="1:14" hidden="1">
      <c r="A87" s="96">
        <f t="shared" si="14"/>
        <v>11</v>
      </c>
      <c r="B87" s="96" t="str">
        <f t="shared" si="10"/>
        <v>หมวดค่าใช้สอย</v>
      </c>
      <c r="C87" s="96" t="str">
        <f t="shared" si="15"/>
        <v/>
      </c>
      <c r="D87" s="123"/>
      <c r="E87" s="124"/>
      <c r="F87" s="125">
        <v>2200103030</v>
      </c>
      <c r="G87" s="124"/>
      <c r="H87" s="154" t="s">
        <v>138</v>
      </c>
      <c r="I87" s="127"/>
      <c r="J87" s="127"/>
      <c r="K87" s="127"/>
      <c r="N87" s="105" t="str">
        <f t="shared" si="13"/>
        <v>No</v>
      </c>
    </row>
    <row r="88" spans="1:14">
      <c r="A88" s="96">
        <f t="shared" si="8"/>
        <v>11</v>
      </c>
      <c r="B88" s="96" t="s">
        <v>60</v>
      </c>
      <c r="C88" s="96" t="str">
        <f t="shared" si="9"/>
        <v/>
      </c>
      <c r="D88" s="128"/>
      <c r="E88" s="120"/>
      <c r="F88" s="120"/>
      <c r="G88" s="120"/>
      <c r="H88" s="121" t="s">
        <v>60</v>
      </c>
      <c r="I88" s="122">
        <f>SUM(I89:I104)</f>
        <v>0</v>
      </c>
      <c r="J88" s="122">
        <f>SUM(J89:J104)</f>
        <v>0</v>
      </c>
      <c r="K88" s="122">
        <f>SUM(K89:K104)</f>
        <v>5845</v>
      </c>
      <c r="M88" s="104" t="s">
        <v>42</v>
      </c>
      <c r="N88" s="105" t="str">
        <f t="shared" si="13"/>
        <v>Yes</v>
      </c>
    </row>
    <row r="89" spans="1:14">
      <c r="A89" s="96">
        <f t="shared" si="8"/>
        <v>12</v>
      </c>
      <c r="B89" s="96" t="str">
        <f t="shared" si="10"/>
        <v>หมวดวัสดุ</v>
      </c>
      <c r="C89" s="96" t="str">
        <f t="shared" si="9"/>
        <v>12_หมวดวัสดุ</v>
      </c>
      <c r="D89" s="123" t="s">
        <v>306</v>
      </c>
      <c r="E89" s="124">
        <v>9</v>
      </c>
      <c r="F89" s="125">
        <v>2300101001</v>
      </c>
      <c r="G89" s="124"/>
      <c r="H89" s="154" t="s">
        <v>141</v>
      </c>
      <c r="I89" s="127"/>
      <c r="J89" s="127"/>
      <c r="K89" s="127">
        <v>1505</v>
      </c>
      <c r="N89" s="105" t="str">
        <f t="shared" si="13"/>
        <v>Yes</v>
      </c>
    </row>
    <row r="90" spans="1:14">
      <c r="A90" s="96">
        <f t="shared" si="8"/>
        <v>13</v>
      </c>
      <c r="B90" s="96" t="str">
        <f t="shared" si="10"/>
        <v>หมวดวัสดุ</v>
      </c>
      <c r="C90" s="96" t="str">
        <f t="shared" si="9"/>
        <v>13_หมวดวัสดุ</v>
      </c>
      <c r="D90" s="123" t="s">
        <v>307</v>
      </c>
      <c r="E90" s="124">
        <v>10</v>
      </c>
      <c r="F90" s="125">
        <v>2300101002</v>
      </c>
      <c r="G90" s="124"/>
      <c r="H90" s="154" t="s">
        <v>282</v>
      </c>
      <c r="I90" s="127"/>
      <c r="J90" s="127"/>
      <c r="K90" s="127">
        <v>1840</v>
      </c>
      <c r="N90" s="105" t="str">
        <f t="shared" si="13"/>
        <v>Yes</v>
      </c>
    </row>
    <row r="91" spans="1:14" hidden="1">
      <c r="A91" s="96">
        <f t="shared" si="8"/>
        <v>13</v>
      </c>
      <c r="B91" s="96" t="str">
        <f t="shared" si="10"/>
        <v>หมวดวัสดุ</v>
      </c>
      <c r="C91" s="96" t="str">
        <f t="shared" si="9"/>
        <v/>
      </c>
      <c r="D91" s="123"/>
      <c r="E91" s="124"/>
      <c r="F91" s="125">
        <v>2300101003</v>
      </c>
      <c r="G91" s="124"/>
      <c r="H91" s="154" t="s">
        <v>140</v>
      </c>
      <c r="I91" s="127"/>
      <c r="J91" s="127"/>
      <c r="K91" s="127"/>
      <c r="N91" s="105" t="str">
        <f t="shared" si="13"/>
        <v>No</v>
      </c>
    </row>
    <row r="92" spans="1:14" hidden="1">
      <c r="A92" s="96">
        <f t="shared" si="8"/>
        <v>13</v>
      </c>
      <c r="B92" s="96" t="str">
        <f t="shared" si="10"/>
        <v>หมวดวัสดุ</v>
      </c>
      <c r="C92" s="96" t="str">
        <f t="shared" si="9"/>
        <v/>
      </c>
      <c r="D92" s="123"/>
      <c r="E92" s="124"/>
      <c r="F92" s="125">
        <v>2300101004</v>
      </c>
      <c r="G92" s="124"/>
      <c r="H92" s="154" t="s">
        <v>139</v>
      </c>
      <c r="I92" s="127"/>
      <c r="J92" s="127"/>
      <c r="K92" s="127"/>
      <c r="N92" s="105" t="str">
        <f t="shared" si="13"/>
        <v>No</v>
      </c>
    </row>
    <row r="93" spans="1:14" hidden="1">
      <c r="A93" s="96">
        <f t="shared" si="8"/>
        <v>13</v>
      </c>
      <c r="B93" s="96" t="str">
        <f t="shared" si="10"/>
        <v>หมวดวัสดุ</v>
      </c>
      <c r="C93" s="96" t="str">
        <f t="shared" si="9"/>
        <v/>
      </c>
      <c r="D93" s="123"/>
      <c r="E93" s="124"/>
      <c r="F93" s="125">
        <v>2300101005</v>
      </c>
      <c r="G93" s="124"/>
      <c r="H93" s="154" t="s">
        <v>142</v>
      </c>
      <c r="I93" s="127"/>
      <c r="J93" s="127"/>
      <c r="K93" s="127"/>
      <c r="N93" s="105" t="str">
        <f t="shared" si="13"/>
        <v>No</v>
      </c>
    </row>
    <row r="94" spans="1:14" hidden="1">
      <c r="A94" s="96">
        <f t="shared" si="8"/>
        <v>13</v>
      </c>
      <c r="B94" s="96" t="str">
        <f t="shared" si="10"/>
        <v>หมวดวัสดุ</v>
      </c>
      <c r="C94" s="96" t="str">
        <f t="shared" si="9"/>
        <v/>
      </c>
      <c r="D94" s="123"/>
      <c r="E94" s="124"/>
      <c r="F94" s="125">
        <v>2300101006</v>
      </c>
      <c r="G94" s="124"/>
      <c r="H94" s="154" t="s">
        <v>143</v>
      </c>
      <c r="I94" s="127"/>
      <c r="J94" s="127"/>
      <c r="K94" s="127"/>
      <c r="N94" s="105" t="str">
        <f t="shared" si="13"/>
        <v>No</v>
      </c>
    </row>
    <row r="95" spans="1:14" hidden="1">
      <c r="A95" s="96">
        <f t="shared" si="8"/>
        <v>13</v>
      </c>
      <c r="B95" s="96" t="str">
        <f t="shared" si="10"/>
        <v>หมวดวัสดุ</v>
      </c>
      <c r="C95" s="96" t="str">
        <f t="shared" ref="C95:C104" si="16">IF(A95&lt;&gt;A94,A95&amp;"_"&amp;B95,"")</f>
        <v/>
      </c>
      <c r="D95" s="123"/>
      <c r="E95" s="124"/>
      <c r="F95" s="125">
        <v>2300101007</v>
      </c>
      <c r="G95" s="124"/>
      <c r="H95" s="154" t="s">
        <v>144</v>
      </c>
      <c r="I95" s="127"/>
      <c r="J95" s="127"/>
      <c r="K95" s="127"/>
      <c r="N95" s="105" t="str">
        <f t="shared" si="13"/>
        <v>No</v>
      </c>
    </row>
    <row r="96" spans="1:14">
      <c r="A96" s="96">
        <f t="shared" si="8"/>
        <v>14</v>
      </c>
      <c r="B96" s="96" t="str">
        <f t="shared" si="10"/>
        <v>หมวดวัสดุ</v>
      </c>
      <c r="C96" s="96" t="str">
        <f t="shared" si="16"/>
        <v>14_หมวดวัสดุ</v>
      </c>
      <c r="D96" s="123" t="s">
        <v>305</v>
      </c>
      <c r="E96" s="283">
        <v>11</v>
      </c>
      <c r="F96" s="125">
        <v>2300101008</v>
      </c>
      <c r="G96" s="124"/>
      <c r="H96" s="154" t="s">
        <v>145</v>
      </c>
      <c r="I96" s="127"/>
      <c r="J96" s="127"/>
      <c r="K96" s="127">
        <v>2500</v>
      </c>
      <c r="N96" s="105" t="str">
        <f t="shared" si="13"/>
        <v>Yes</v>
      </c>
    </row>
    <row r="97" spans="1:14" hidden="1">
      <c r="A97" s="96">
        <f t="shared" si="8"/>
        <v>14</v>
      </c>
      <c r="B97" s="96" t="str">
        <f t="shared" ref="B97:B104" si="17">B96</f>
        <v>หมวดวัสดุ</v>
      </c>
      <c r="C97" s="96" t="str">
        <f t="shared" si="16"/>
        <v/>
      </c>
      <c r="D97" s="123"/>
      <c r="E97" s="124"/>
      <c r="F97" s="125">
        <v>2300101008</v>
      </c>
      <c r="G97" s="124"/>
      <c r="H97" s="154" t="s">
        <v>248</v>
      </c>
      <c r="I97" s="127"/>
      <c r="J97" s="127"/>
      <c r="K97" s="127"/>
      <c r="N97" s="105" t="str">
        <f t="shared" si="13"/>
        <v>No</v>
      </c>
    </row>
    <row r="98" spans="1:14" hidden="1">
      <c r="A98" s="96">
        <f t="shared" si="8"/>
        <v>14</v>
      </c>
      <c r="B98" s="96" t="str">
        <f t="shared" si="17"/>
        <v>หมวดวัสดุ</v>
      </c>
      <c r="C98" s="96" t="str">
        <f t="shared" si="16"/>
        <v/>
      </c>
      <c r="D98" s="123"/>
      <c r="E98" s="124"/>
      <c r="F98" s="125">
        <v>2300101008</v>
      </c>
      <c r="G98" s="124"/>
      <c r="H98" s="154" t="s">
        <v>248</v>
      </c>
      <c r="I98" s="127"/>
      <c r="J98" s="127"/>
      <c r="K98" s="127"/>
      <c r="N98" s="105" t="str">
        <f t="shared" si="13"/>
        <v>No</v>
      </c>
    </row>
    <row r="99" spans="1:14" hidden="1">
      <c r="A99" s="96">
        <f t="shared" si="8"/>
        <v>14</v>
      </c>
      <c r="B99" s="96" t="str">
        <f t="shared" si="17"/>
        <v>หมวดวัสดุ</v>
      </c>
      <c r="C99" s="96" t="str">
        <f t="shared" si="16"/>
        <v/>
      </c>
      <c r="D99" s="123"/>
      <c r="E99" s="124"/>
      <c r="F99" s="125">
        <v>2300101008</v>
      </c>
      <c r="G99" s="124"/>
      <c r="H99" s="154" t="s">
        <v>146</v>
      </c>
      <c r="I99" s="127"/>
      <c r="J99" s="127"/>
      <c r="K99" s="127"/>
      <c r="N99" s="105" t="str">
        <f t="shared" si="13"/>
        <v>No</v>
      </c>
    </row>
    <row r="100" spans="1:14" hidden="1">
      <c r="A100" s="96">
        <f t="shared" si="8"/>
        <v>14</v>
      </c>
      <c r="B100" s="96" t="str">
        <f t="shared" si="17"/>
        <v>หมวดวัสดุ</v>
      </c>
      <c r="C100" s="96" t="str">
        <f t="shared" si="16"/>
        <v/>
      </c>
      <c r="D100" s="123"/>
      <c r="E100" s="124"/>
      <c r="F100" s="125">
        <v>2300101008</v>
      </c>
      <c r="G100" s="124"/>
      <c r="H100" s="154" t="s">
        <v>146</v>
      </c>
      <c r="I100" s="127"/>
      <c r="J100" s="127"/>
      <c r="K100" s="127"/>
      <c r="N100" s="105" t="str">
        <f t="shared" si="13"/>
        <v>No</v>
      </c>
    </row>
    <row r="101" spans="1:14" hidden="1">
      <c r="A101" s="96">
        <f t="shared" si="8"/>
        <v>14</v>
      </c>
      <c r="B101" s="96" t="str">
        <f t="shared" si="17"/>
        <v>หมวดวัสดุ</v>
      </c>
      <c r="C101" s="96" t="str">
        <f t="shared" si="16"/>
        <v/>
      </c>
      <c r="D101" s="123"/>
      <c r="E101" s="124"/>
      <c r="F101" s="125">
        <v>2300101008</v>
      </c>
      <c r="G101" s="124"/>
      <c r="H101" s="154" t="s">
        <v>146</v>
      </c>
      <c r="I101" s="127"/>
      <c r="J101" s="127"/>
      <c r="K101" s="127"/>
      <c r="N101" s="105" t="str">
        <f t="shared" si="13"/>
        <v>No</v>
      </c>
    </row>
    <row r="102" spans="1:14" hidden="1">
      <c r="A102" s="96">
        <f t="shared" si="8"/>
        <v>14</v>
      </c>
      <c r="B102" s="96" t="str">
        <f t="shared" si="17"/>
        <v>หมวดวัสดุ</v>
      </c>
      <c r="C102" s="96" t="str">
        <f t="shared" si="16"/>
        <v/>
      </c>
      <c r="D102" s="123"/>
      <c r="E102" s="124"/>
      <c r="F102" s="125">
        <v>2300101008</v>
      </c>
      <c r="G102" s="124"/>
      <c r="H102" s="154" t="s">
        <v>146</v>
      </c>
      <c r="I102" s="127"/>
      <c r="J102" s="127"/>
      <c r="K102" s="127"/>
      <c r="N102" s="105" t="str">
        <f t="shared" si="13"/>
        <v>No</v>
      </c>
    </row>
    <row r="103" spans="1:14" hidden="1">
      <c r="A103" s="96">
        <f t="shared" si="8"/>
        <v>14</v>
      </c>
      <c r="B103" s="96" t="str">
        <f t="shared" si="17"/>
        <v>หมวดวัสดุ</v>
      </c>
      <c r="C103" s="96" t="str">
        <f t="shared" si="16"/>
        <v/>
      </c>
      <c r="D103" s="123"/>
      <c r="E103" s="124"/>
      <c r="F103" s="125">
        <v>2300101008</v>
      </c>
      <c r="G103" s="124"/>
      <c r="H103" s="154" t="s">
        <v>146</v>
      </c>
      <c r="I103" s="127"/>
      <c r="J103" s="127"/>
      <c r="K103" s="127"/>
      <c r="N103" s="105" t="str">
        <f t="shared" si="13"/>
        <v>No</v>
      </c>
    </row>
    <row r="104" spans="1:14" hidden="1">
      <c r="A104" s="96">
        <f t="shared" si="8"/>
        <v>14</v>
      </c>
      <c r="B104" s="96" t="str">
        <f t="shared" si="17"/>
        <v>หมวดวัสดุ</v>
      </c>
      <c r="C104" s="96" t="str">
        <f t="shared" si="16"/>
        <v/>
      </c>
      <c r="D104" s="123"/>
      <c r="E104" s="124"/>
      <c r="F104" s="125">
        <v>2300101008</v>
      </c>
      <c r="G104" s="124"/>
      <c r="H104" s="154" t="s">
        <v>146</v>
      </c>
      <c r="I104" s="127"/>
      <c r="J104" s="127"/>
      <c r="K104" s="127"/>
      <c r="N104" s="105" t="str">
        <f t="shared" si="13"/>
        <v>No</v>
      </c>
    </row>
    <row r="105" spans="1:14">
      <c r="A105" s="96">
        <f t="shared" si="8"/>
        <v>14</v>
      </c>
      <c r="B105" s="96" t="s">
        <v>61</v>
      </c>
      <c r="C105" s="96" t="str">
        <f t="shared" ref="C105:C170" si="18">IF(A105&lt;&gt;A104,A105&amp;"_"&amp;B105,"")</f>
        <v/>
      </c>
      <c r="D105" s="128"/>
      <c r="E105" s="120"/>
      <c r="F105" s="120"/>
      <c r="G105" s="120"/>
      <c r="H105" s="121" t="s">
        <v>61</v>
      </c>
      <c r="I105" s="122">
        <f>SUM(I106:I129)</f>
        <v>0</v>
      </c>
      <c r="J105" s="122">
        <f>SUM(J106:J129)</f>
        <v>0</v>
      </c>
      <c r="K105" s="122">
        <f>SUM(K106:K129)</f>
        <v>34056.14</v>
      </c>
      <c r="M105" s="104" t="s">
        <v>42</v>
      </c>
      <c r="N105" s="105" t="str">
        <f t="shared" si="13"/>
        <v>Yes</v>
      </c>
    </row>
    <row r="106" spans="1:14">
      <c r="A106" s="96">
        <f t="shared" si="8"/>
        <v>15</v>
      </c>
      <c r="B106" s="96" t="str">
        <f t="shared" ref="B106:B170" si="19">B105</f>
        <v>หมวดสาธารณูปโภค</v>
      </c>
      <c r="C106" s="96" t="str">
        <f t="shared" si="18"/>
        <v>15_หมวดสาธารณูปโภค</v>
      </c>
      <c r="D106" s="123" t="s">
        <v>307</v>
      </c>
      <c r="E106" s="370" t="s">
        <v>316</v>
      </c>
      <c r="F106" s="125">
        <v>2400101001</v>
      </c>
      <c r="G106" s="124"/>
      <c r="H106" s="154" t="s">
        <v>147</v>
      </c>
      <c r="I106" s="127"/>
      <c r="J106" s="127"/>
      <c r="K106" s="127">
        <v>7286.36</v>
      </c>
      <c r="N106" s="105" t="str">
        <f t="shared" si="13"/>
        <v>Yes</v>
      </c>
    </row>
    <row r="107" spans="1:14" hidden="1">
      <c r="A107" s="96">
        <f t="shared" ref="A107:A170" si="20">IF(OR(SUM(I107:K107)=0,F107=""),A106,A106+1)</f>
        <v>15</v>
      </c>
      <c r="B107" s="96" t="str">
        <f t="shared" si="19"/>
        <v>หมวดสาธารณูปโภค</v>
      </c>
      <c r="C107" s="96" t="str">
        <f t="shared" si="18"/>
        <v/>
      </c>
      <c r="D107" s="123"/>
      <c r="E107" s="124"/>
      <c r="F107" s="125">
        <v>2400101002</v>
      </c>
      <c r="G107" s="124"/>
      <c r="H107" s="154" t="s">
        <v>148</v>
      </c>
      <c r="I107" s="127"/>
      <c r="J107" s="127"/>
      <c r="K107" s="127"/>
      <c r="N107" s="105" t="str">
        <f t="shared" si="13"/>
        <v>No</v>
      </c>
    </row>
    <row r="108" spans="1:14">
      <c r="A108" s="96">
        <f t="shared" si="20"/>
        <v>16</v>
      </c>
      <c r="B108" s="96" t="str">
        <f t="shared" si="19"/>
        <v>หมวดสาธารณูปโภค</v>
      </c>
      <c r="C108" s="96" t="str">
        <f t="shared" si="18"/>
        <v>16_หมวดสาธารณูปโภค</v>
      </c>
      <c r="D108" s="123" t="s">
        <v>307</v>
      </c>
      <c r="E108" s="124">
        <v>15</v>
      </c>
      <c r="F108" s="125">
        <v>2400101003</v>
      </c>
      <c r="G108" s="124"/>
      <c r="H108" s="154" t="s">
        <v>151</v>
      </c>
      <c r="I108" s="127"/>
      <c r="J108" s="127"/>
      <c r="K108" s="127">
        <v>7300</v>
      </c>
      <c r="N108" s="105" t="str">
        <f t="shared" si="13"/>
        <v>Yes</v>
      </c>
    </row>
    <row r="109" spans="1:14">
      <c r="A109" s="96">
        <f t="shared" si="20"/>
        <v>17</v>
      </c>
      <c r="B109" s="96" t="str">
        <f t="shared" si="19"/>
        <v>หมวดสาธารณูปโภค</v>
      </c>
      <c r="C109" s="96" t="str">
        <f t="shared" si="18"/>
        <v>17_หมวดสาธารณูปโภค</v>
      </c>
      <c r="D109" s="123" t="s">
        <v>305</v>
      </c>
      <c r="E109" s="124">
        <v>16</v>
      </c>
      <c r="F109" s="125">
        <v>2400101004</v>
      </c>
      <c r="G109" s="124"/>
      <c r="H109" s="154" t="s">
        <v>150</v>
      </c>
      <c r="I109" s="127"/>
      <c r="J109" s="127"/>
      <c r="K109" s="127">
        <v>17207.61</v>
      </c>
      <c r="N109" s="105" t="str">
        <f t="shared" si="13"/>
        <v>Yes</v>
      </c>
    </row>
    <row r="110" spans="1:14" hidden="1">
      <c r="A110" s="96">
        <f t="shared" si="20"/>
        <v>17</v>
      </c>
      <c r="B110" s="96" t="str">
        <f t="shared" si="19"/>
        <v>หมวดสาธารณูปโภค</v>
      </c>
      <c r="C110" s="96" t="str">
        <f t="shared" si="18"/>
        <v/>
      </c>
      <c r="D110" s="123"/>
      <c r="E110" s="124"/>
      <c r="F110" s="125">
        <v>2400101005</v>
      </c>
      <c r="G110" s="124"/>
      <c r="H110" s="154" t="s">
        <v>149</v>
      </c>
      <c r="I110" s="127"/>
      <c r="J110" s="127"/>
      <c r="K110" s="127"/>
      <c r="N110" s="105" t="str">
        <f t="shared" si="13"/>
        <v>No</v>
      </c>
    </row>
    <row r="111" spans="1:14">
      <c r="A111" s="96">
        <f t="shared" si="20"/>
        <v>18</v>
      </c>
      <c r="B111" s="96" t="str">
        <f t="shared" si="19"/>
        <v>หมวดสาธารณูปโภค</v>
      </c>
      <c r="C111" s="96" t="str">
        <f t="shared" ref="C111:C113" si="21">IF(A111&lt;&gt;A110,A111&amp;"_"&amp;B111,"")</f>
        <v>18_หมวดสาธารณูปโภค</v>
      </c>
      <c r="D111" s="123" t="s">
        <v>305</v>
      </c>
      <c r="E111" s="124">
        <v>17</v>
      </c>
      <c r="F111" s="125">
        <v>2400101005</v>
      </c>
      <c r="G111" s="124"/>
      <c r="H111" s="154" t="s">
        <v>249</v>
      </c>
      <c r="I111" s="127"/>
      <c r="J111" s="127"/>
      <c r="K111" s="127">
        <v>1338.39</v>
      </c>
      <c r="N111" s="105" t="str">
        <f t="shared" si="13"/>
        <v>Yes</v>
      </c>
    </row>
    <row r="112" spans="1:14">
      <c r="A112" s="96">
        <f t="shared" si="20"/>
        <v>19</v>
      </c>
      <c r="B112" s="96" t="str">
        <f t="shared" si="19"/>
        <v>หมวดสาธารณูปโภค</v>
      </c>
      <c r="C112" s="96" t="str">
        <f t="shared" si="21"/>
        <v>19_หมวดสาธารณูปโภค</v>
      </c>
      <c r="D112" s="123" t="s">
        <v>305</v>
      </c>
      <c r="E112" s="124">
        <v>18</v>
      </c>
      <c r="F112" s="125">
        <v>2400101005</v>
      </c>
      <c r="G112" s="124"/>
      <c r="H112" s="154" t="s">
        <v>250</v>
      </c>
      <c r="I112" s="127"/>
      <c r="J112" s="127"/>
      <c r="K112" s="127">
        <v>923.78</v>
      </c>
      <c r="N112" s="105" t="str">
        <f t="shared" si="13"/>
        <v>Yes</v>
      </c>
    </row>
    <row r="113" spans="1:14" hidden="1">
      <c r="A113" s="96">
        <f t="shared" si="20"/>
        <v>19</v>
      </c>
      <c r="B113" s="96" t="str">
        <f t="shared" si="19"/>
        <v>หมวดสาธารณูปโภค</v>
      </c>
      <c r="C113" s="96" t="str">
        <f t="shared" si="21"/>
        <v/>
      </c>
      <c r="D113" s="123"/>
      <c r="E113" s="124"/>
      <c r="F113" s="125">
        <v>2400101005</v>
      </c>
      <c r="G113" s="124"/>
      <c r="H113" s="154" t="s">
        <v>151</v>
      </c>
      <c r="I113" s="127"/>
      <c r="J113" s="127"/>
      <c r="K113" s="127"/>
      <c r="N113" s="105" t="str">
        <f t="shared" si="13"/>
        <v>No</v>
      </c>
    </row>
    <row r="114" spans="1:14" hidden="1">
      <c r="A114" s="96">
        <f t="shared" ref="A114" si="22">IF(OR(SUM(I114:K114)=0,F114=""),A113,A113+1)</f>
        <v>19</v>
      </c>
      <c r="B114" s="96" t="str">
        <f t="shared" si="19"/>
        <v>หมวดสาธารณูปโภค</v>
      </c>
      <c r="C114" s="96" t="str">
        <f t="shared" ref="C114" si="23">IF(A114&lt;&gt;A113,A114&amp;"_"&amp;B114,"")</f>
        <v/>
      </c>
      <c r="D114" s="123"/>
      <c r="E114" s="124"/>
      <c r="F114" s="125">
        <v>2400101006</v>
      </c>
      <c r="G114" s="124"/>
      <c r="H114" s="154" t="s">
        <v>152</v>
      </c>
      <c r="I114" s="127"/>
      <c r="J114" s="127"/>
      <c r="K114" s="127"/>
      <c r="N114" s="105" t="str">
        <f>IF(M114&lt;&gt;"",M114,IF(SUM(I114:K114)&lt;&gt;0,"Yes","No"))</f>
        <v>No</v>
      </c>
    </row>
    <row r="115" spans="1:14" hidden="1">
      <c r="A115" s="96">
        <f t="shared" ref="A115:A130" si="24">IF(OR(SUM(I115:K115)=0,F115=""),A114,A114+1)</f>
        <v>19</v>
      </c>
      <c r="B115" s="96" t="str">
        <f t="shared" si="19"/>
        <v>หมวดสาธารณูปโภค</v>
      </c>
      <c r="C115" s="96" t="str">
        <f t="shared" ref="C115:C130" si="25">IF(A115&lt;&gt;A114,A115&amp;"_"&amp;B115,"")</f>
        <v/>
      </c>
      <c r="D115" s="123"/>
      <c r="E115" s="124"/>
      <c r="F115" s="125">
        <v>2200103016</v>
      </c>
      <c r="G115" s="124"/>
      <c r="H115" s="154" t="s">
        <v>125</v>
      </c>
      <c r="I115" s="127"/>
      <c r="J115" s="127"/>
      <c r="K115" s="127"/>
      <c r="N115" s="105"/>
    </row>
    <row r="116" spans="1:14" hidden="1">
      <c r="A116" s="96">
        <f t="shared" si="24"/>
        <v>19</v>
      </c>
      <c r="B116" s="96" t="str">
        <f t="shared" si="19"/>
        <v>หมวดสาธารณูปโภค</v>
      </c>
      <c r="C116" s="96" t="str">
        <f t="shared" si="25"/>
        <v/>
      </c>
      <c r="D116" s="123"/>
      <c r="E116" s="124"/>
      <c r="F116" s="125">
        <v>2200103016</v>
      </c>
      <c r="G116" s="124"/>
      <c r="H116" s="154" t="s">
        <v>125</v>
      </c>
      <c r="I116" s="127"/>
      <c r="J116" s="127"/>
      <c r="K116" s="127"/>
      <c r="N116" s="105"/>
    </row>
    <row r="117" spans="1:14" hidden="1">
      <c r="A117" s="96">
        <f t="shared" si="24"/>
        <v>19</v>
      </c>
      <c r="B117" s="96" t="str">
        <f t="shared" si="19"/>
        <v>หมวดสาธารณูปโภค</v>
      </c>
      <c r="C117" s="96" t="str">
        <f t="shared" si="25"/>
        <v/>
      </c>
      <c r="D117" s="123"/>
      <c r="E117" s="124"/>
      <c r="F117" s="125">
        <v>2200103016</v>
      </c>
      <c r="G117" s="124"/>
      <c r="H117" s="154" t="s">
        <v>125</v>
      </c>
      <c r="I117" s="127"/>
      <c r="J117" s="127"/>
      <c r="K117" s="127"/>
      <c r="N117" s="105"/>
    </row>
    <row r="118" spans="1:14" hidden="1">
      <c r="A118" s="96">
        <f t="shared" si="24"/>
        <v>19</v>
      </c>
      <c r="B118" s="96" t="str">
        <f t="shared" si="19"/>
        <v>หมวดสาธารณูปโภค</v>
      </c>
      <c r="C118" s="96" t="str">
        <f t="shared" si="25"/>
        <v/>
      </c>
      <c r="D118" s="123"/>
      <c r="E118" s="124"/>
      <c r="F118" s="125">
        <v>2200103016</v>
      </c>
      <c r="G118" s="124"/>
      <c r="H118" s="154" t="s">
        <v>125</v>
      </c>
      <c r="I118" s="127"/>
      <c r="J118" s="127"/>
      <c r="K118" s="127"/>
      <c r="N118" s="105"/>
    </row>
    <row r="119" spans="1:14" hidden="1">
      <c r="A119" s="96">
        <f t="shared" si="24"/>
        <v>19</v>
      </c>
      <c r="B119" s="96" t="str">
        <f t="shared" si="19"/>
        <v>หมวดสาธารณูปโภค</v>
      </c>
      <c r="C119" s="96" t="str">
        <f t="shared" si="25"/>
        <v/>
      </c>
      <c r="D119" s="123"/>
      <c r="E119" s="124"/>
      <c r="F119" s="125">
        <v>2200103016</v>
      </c>
      <c r="G119" s="124"/>
      <c r="H119" s="154" t="s">
        <v>125</v>
      </c>
      <c r="I119" s="127"/>
      <c r="J119" s="127"/>
      <c r="K119" s="127"/>
      <c r="N119" s="105"/>
    </row>
    <row r="120" spans="1:14" hidden="1">
      <c r="A120" s="96">
        <f t="shared" si="24"/>
        <v>19</v>
      </c>
      <c r="B120" s="96" t="str">
        <f t="shared" si="19"/>
        <v>หมวดสาธารณูปโภค</v>
      </c>
      <c r="C120" s="96" t="str">
        <f t="shared" si="25"/>
        <v/>
      </c>
      <c r="D120" s="123"/>
      <c r="E120" s="124"/>
      <c r="F120" s="125">
        <v>2200103016</v>
      </c>
      <c r="G120" s="124"/>
      <c r="H120" s="154" t="s">
        <v>125</v>
      </c>
      <c r="I120" s="127"/>
      <c r="J120" s="127"/>
      <c r="K120" s="127"/>
      <c r="N120" s="105"/>
    </row>
    <row r="121" spans="1:14" hidden="1">
      <c r="A121" s="96">
        <f t="shared" si="24"/>
        <v>19</v>
      </c>
      <c r="B121" s="96" t="str">
        <f t="shared" si="19"/>
        <v>หมวดสาธารณูปโภค</v>
      </c>
      <c r="C121" s="96" t="str">
        <f t="shared" si="25"/>
        <v/>
      </c>
      <c r="D121" s="123"/>
      <c r="E121" s="124"/>
      <c r="F121" s="125">
        <v>2200103016</v>
      </c>
      <c r="G121" s="124"/>
      <c r="H121" s="154" t="s">
        <v>125</v>
      </c>
      <c r="I121" s="127"/>
      <c r="J121" s="127"/>
      <c r="K121" s="127"/>
      <c r="N121" s="105"/>
    </row>
    <row r="122" spans="1:14" hidden="1">
      <c r="A122" s="96">
        <f t="shared" si="24"/>
        <v>19</v>
      </c>
      <c r="B122" s="96" t="str">
        <f t="shared" si="19"/>
        <v>หมวดสาธารณูปโภค</v>
      </c>
      <c r="C122" s="96" t="str">
        <f t="shared" si="25"/>
        <v/>
      </c>
      <c r="D122" s="123"/>
      <c r="E122" s="124"/>
      <c r="F122" s="125">
        <v>2200103016</v>
      </c>
      <c r="G122" s="124"/>
      <c r="H122" s="154" t="s">
        <v>125</v>
      </c>
      <c r="I122" s="127"/>
      <c r="J122" s="127"/>
      <c r="K122" s="127"/>
      <c r="N122" s="105"/>
    </row>
    <row r="123" spans="1:14" hidden="1">
      <c r="A123" s="96">
        <f t="shared" si="24"/>
        <v>19</v>
      </c>
      <c r="B123" s="96" t="str">
        <f t="shared" si="19"/>
        <v>หมวดสาธารณูปโภค</v>
      </c>
      <c r="C123" s="96" t="str">
        <f t="shared" si="25"/>
        <v/>
      </c>
      <c r="D123" s="123"/>
      <c r="E123" s="124"/>
      <c r="F123" s="125">
        <v>2200103016</v>
      </c>
      <c r="G123" s="124"/>
      <c r="H123" s="154" t="s">
        <v>125</v>
      </c>
      <c r="I123" s="127"/>
      <c r="J123" s="127"/>
      <c r="K123" s="127"/>
      <c r="N123" s="105"/>
    </row>
    <row r="124" spans="1:14" hidden="1">
      <c r="A124" s="96">
        <f t="shared" si="24"/>
        <v>19</v>
      </c>
      <c r="B124" s="96" t="str">
        <f t="shared" si="19"/>
        <v>หมวดสาธารณูปโภค</v>
      </c>
      <c r="C124" s="96" t="str">
        <f t="shared" si="25"/>
        <v/>
      </c>
      <c r="D124" s="123"/>
      <c r="E124" s="124"/>
      <c r="F124" s="125">
        <v>2200103016</v>
      </c>
      <c r="G124" s="124"/>
      <c r="H124" s="154" t="s">
        <v>125</v>
      </c>
      <c r="I124" s="127"/>
      <c r="J124" s="127"/>
      <c r="K124" s="127"/>
      <c r="N124" s="105"/>
    </row>
    <row r="125" spans="1:14" hidden="1">
      <c r="A125" s="96">
        <f t="shared" si="24"/>
        <v>19</v>
      </c>
      <c r="B125" s="96" t="str">
        <f t="shared" si="19"/>
        <v>หมวดสาธารณูปโภค</v>
      </c>
      <c r="C125" s="96" t="str">
        <f t="shared" si="25"/>
        <v/>
      </c>
      <c r="D125" s="123"/>
      <c r="E125" s="124"/>
      <c r="F125" s="125">
        <v>2200103016</v>
      </c>
      <c r="G125" s="124"/>
      <c r="H125" s="154" t="s">
        <v>125</v>
      </c>
      <c r="I125" s="127"/>
      <c r="J125" s="127"/>
      <c r="K125" s="127"/>
      <c r="N125" s="105"/>
    </row>
    <row r="126" spans="1:14" hidden="1">
      <c r="A126" s="96">
        <f t="shared" si="24"/>
        <v>19</v>
      </c>
      <c r="B126" s="96" t="str">
        <f t="shared" si="19"/>
        <v>หมวดสาธารณูปโภค</v>
      </c>
      <c r="C126" s="96" t="str">
        <f t="shared" si="25"/>
        <v/>
      </c>
      <c r="D126" s="123"/>
      <c r="E126" s="124"/>
      <c r="F126" s="125">
        <v>2200103016</v>
      </c>
      <c r="G126" s="124"/>
      <c r="H126" s="154" t="s">
        <v>125</v>
      </c>
      <c r="I126" s="127"/>
      <c r="J126" s="127"/>
      <c r="K126" s="127"/>
      <c r="N126" s="105"/>
    </row>
    <row r="127" spans="1:14" hidden="1">
      <c r="A127" s="96">
        <f t="shared" si="24"/>
        <v>19</v>
      </c>
      <c r="B127" s="96" t="str">
        <f t="shared" si="19"/>
        <v>หมวดสาธารณูปโภค</v>
      </c>
      <c r="C127" s="96" t="str">
        <f t="shared" si="25"/>
        <v/>
      </c>
      <c r="D127" s="123"/>
      <c r="E127" s="124"/>
      <c r="F127" s="125">
        <v>2200103016</v>
      </c>
      <c r="G127" s="124"/>
      <c r="H127" s="154" t="s">
        <v>125</v>
      </c>
      <c r="I127" s="127"/>
      <c r="J127" s="127"/>
      <c r="K127" s="127"/>
      <c r="N127" s="105"/>
    </row>
    <row r="128" spans="1:14" hidden="1">
      <c r="A128" s="96">
        <f t="shared" si="24"/>
        <v>19</v>
      </c>
      <c r="B128" s="96" t="str">
        <f t="shared" si="19"/>
        <v>หมวดสาธารณูปโภค</v>
      </c>
      <c r="C128" s="96" t="str">
        <f t="shared" si="25"/>
        <v/>
      </c>
      <c r="D128" s="123"/>
      <c r="E128" s="124"/>
      <c r="F128" s="125">
        <v>2200103016</v>
      </c>
      <c r="G128" s="124"/>
      <c r="H128" s="154" t="s">
        <v>125</v>
      </c>
      <c r="I128" s="127"/>
      <c r="J128" s="127"/>
      <c r="K128" s="127"/>
      <c r="N128" s="105"/>
    </row>
    <row r="129" spans="1:14" hidden="1">
      <c r="A129" s="96">
        <f t="shared" si="24"/>
        <v>19</v>
      </c>
      <c r="B129" s="96" t="str">
        <f t="shared" si="19"/>
        <v>หมวดสาธารณูปโภค</v>
      </c>
      <c r="C129" s="96" t="str">
        <f t="shared" si="25"/>
        <v/>
      </c>
      <c r="D129" s="123"/>
      <c r="E129" s="124"/>
      <c r="F129" s="125">
        <v>2200103016</v>
      </c>
      <c r="G129" s="124"/>
      <c r="H129" s="154" t="s">
        <v>125</v>
      </c>
      <c r="I129" s="127"/>
      <c r="J129" s="127"/>
      <c r="K129" s="127"/>
      <c r="N129" s="105"/>
    </row>
    <row r="130" spans="1:14">
      <c r="A130" s="96">
        <f t="shared" si="24"/>
        <v>19</v>
      </c>
      <c r="B130" s="96" t="str">
        <f t="shared" si="19"/>
        <v>หมวดสาธารณูปโภค</v>
      </c>
      <c r="C130" s="96" t="str">
        <f t="shared" si="25"/>
        <v/>
      </c>
      <c r="D130" s="141"/>
      <c r="E130" s="142"/>
      <c r="F130" s="142"/>
      <c r="G130" s="142"/>
      <c r="H130" s="142" t="s">
        <v>153</v>
      </c>
      <c r="I130" s="143">
        <f>I42+I46+I49+I88+I105</f>
        <v>0</v>
      </c>
      <c r="J130" s="143">
        <f>J42+J46+J49+J88+J105</f>
        <v>0</v>
      </c>
      <c r="K130" s="143">
        <f>K42+K46+K49+K88+K105</f>
        <v>84004.62</v>
      </c>
      <c r="M130" s="104" t="s">
        <v>42</v>
      </c>
      <c r="N130" s="105" t="str">
        <f t="shared" si="13"/>
        <v>Yes</v>
      </c>
    </row>
    <row r="131" spans="1:14" s="160" customFormat="1">
      <c r="A131" s="96">
        <f t="shared" ref="A131:A132" si="26">IF(OR(SUM(I131:K131)=0,F131=""),A130,A130+1)</f>
        <v>19</v>
      </c>
      <c r="B131" s="96" t="str">
        <f t="shared" si="19"/>
        <v>หมวดสาธารณูปโภค</v>
      </c>
      <c r="C131" s="96" t="str">
        <f t="shared" ref="C131:C132" si="27">IF(A131&lt;&gt;A130,A131&amp;"_"&amp;B131,"")</f>
        <v/>
      </c>
      <c r="D131" s="156"/>
      <c r="E131" s="157"/>
      <c r="F131" s="157"/>
      <c r="G131" s="157"/>
      <c r="H131" s="158" t="s">
        <v>154</v>
      </c>
      <c r="I131" s="159">
        <f>I130+I39</f>
        <v>0</v>
      </c>
      <c r="J131" s="159">
        <f>J130+J39</f>
        <v>11010.75</v>
      </c>
      <c r="K131" s="159">
        <f>K130+K39</f>
        <v>102225.59</v>
      </c>
      <c r="L131" s="103"/>
      <c r="M131" s="104" t="s">
        <v>42</v>
      </c>
      <c r="N131" s="105" t="str">
        <f t="shared" si="13"/>
        <v>Yes</v>
      </c>
    </row>
    <row r="132" spans="1:14">
      <c r="A132" s="96">
        <f t="shared" si="26"/>
        <v>19</v>
      </c>
      <c r="B132" s="96" t="str">
        <f t="shared" si="19"/>
        <v>หมวดสาธารณูปโภค</v>
      </c>
      <c r="C132" s="96" t="str">
        <f t="shared" si="27"/>
        <v/>
      </c>
      <c r="D132" s="130"/>
      <c r="E132" s="131"/>
      <c r="F132" s="132"/>
      <c r="G132" s="132"/>
      <c r="H132" s="133" t="s">
        <v>53</v>
      </c>
      <c r="I132" s="134"/>
      <c r="J132" s="134"/>
      <c r="K132" s="134"/>
      <c r="M132" s="104" t="s">
        <v>42</v>
      </c>
      <c r="N132" s="105" t="str">
        <f t="shared" si="13"/>
        <v>Yes</v>
      </c>
    </row>
    <row r="133" spans="1:14">
      <c r="A133" s="96">
        <f t="shared" si="20"/>
        <v>19</v>
      </c>
      <c r="B133" s="96" t="s">
        <v>62</v>
      </c>
      <c r="C133" s="96" t="str">
        <f t="shared" si="18"/>
        <v/>
      </c>
      <c r="D133" s="128"/>
      <c r="E133" s="120"/>
      <c r="F133" s="120"/>
      <c r="G133" s="120"/>
      <c r="H133" s="121" t="s">
        <v>155</v>
      </c>
      <c r="I133" s="122">
        <f>SUM(I134:I144)</f>
        <v>0</v>
      </c>
      <c r="J133" s="122">
        <f>SUM(J134:J144)</f>
        <v>0</v>
      </c>
      <c r="K133" s="122">
        <f>SUM(K134:K144)</f>
        <v>0</v>
      </c>
      <c r="M133" s="104" t="s">
        <v>42</v>
      </c>
      <c r="N133" s="105" t="str">
        <f t="shared" si="13"/>
        <v>Yes</v>
      </c>
    </row>
    <row r="134" spans="1:14" hidden="1">
      <c r="A134" s="96">
        <f t="shared" si="20"/>
        <v>19</v>
      </c>
      <c r="B134" s="96" t="str">
        <f t="shared" si="19"/>
        <v>ค่าใช้จ่ายเดินทางไปต่างประเทศชั่วคราว</v>
      </c>
      <c r="C134" s="96" t="str">
        <f t="shared" si="18"/>
        <v/>
      </c>
      <c r="D134" s="123"/>
      <c r="E134" s="124"/>
      <c r="F134" s="125">
        <v>5000100101</v>
      </c>
      <c r="G134" s="124"/>
      <c r="H134" s="154" t="s">
        <v>156</v>
      </c>
      <c r="I134" s="127"/>
      <c r="J134" s="127"/>
      <c r="K134" s="127"/>
      <c r="N134" s="105" t="str">
        <f t="shared" si="13"/>
        <v>No</v>
      </c>
    </row>
    <row r="135" spans="1:14" hidden="1">
      <c r="A135" s="96">
        <f t="shared" ref="A135:A144" si="28">IF(OR(SUM(I135:K135)=0,F135=""),A134,A134+1)</f>
        <v>19</v>
      </c>
      <c r="B135" s="96" t="str">
        <f t="shared" si="19"/>
        <v>ค่าใช้จ่ายเดินทางไปต่างประเทศชั่วคราว</v>
      </c>
      <c r="C135" s="96" t="str">
        <f t="shared" ref="C135:C144" si="29">IF(A135&lt;&gt;A134,A135&amp;"_"&amp;B135,"")</f>
        <v/>
      </c>
      <c r="D135" s="123"/>
      <c r="E135" s="124"/>
      <c r="F135" s="125">
        <v>5000100102</v>
      </c>
      <c r="G135" s="124"/>
      <c r="H135" s="154" t="s">
        <v>157</v>
      </c>
      <c r="I135" s="127"/>
      <c r="J135" s="127"/>
      <c r="K135" s="127"/>
      <c r="N135" s="105" t="str">
        <f t="shared" si="13"/>
        <v>No</v>
      </c>
    </row>
    <row r="136" spans="1:14" hidden="1">
      <c r="A136" s="96">
        <f t="shared" si="28"/>
        <v>19</v>
      </c>
      <c r="B136" s="96" t="str">
        <f t="shared" si="19"/>
        <v>ค่าใช้จ่ายเดินทางไปต่างประเทศชั่วคราว</v>
      </c>
      <c r="C136" s="96" t="str">
        <f t="shared" si="29"/>
        <v/>
      </c>
      <c r="D136" s="123"/>
      <c r="E136" s="124"/>
      <c r="F136" s="125">
        <v>5000100103</v>
      </c>
      <c r="G136" s="124"/>
      <c r="H136" s="154" t="s">
        <v>158</v>
      </c>
      <c r="I136" s="127"/>
      <c r="J136" s="127"/>
      <c r="K136" s="127"/>
      <c r="N136" s="105" t="str">
        <f t="shared" si="13"/>
        <v>No</v>
      </c>
    </row>
    <row r="137" spans="1:14" hidden="1">
      <c r="A137" s="96">
        <f t="shared" si="28"/>
        <v>19</v>
      </c>
      <c r="B137" s="96" t="str">
        <f t="shared" si="19"/>
        <v>ค่าใช้จ่ายเดินทางไปต่างประเทศชั่วคราว</v>
      </c>
      <c r="C137" s="96" t="str">
        <f t="shared" si="29"/>
        <v/>
      </c>
      <c r="D137" s="123"/>
      <c r="E137" s="124"/>
      <c r="F137" s="125">
        <v>5000100104</v>
      </c>
      <c r="G137" s="124"/>
      <c r="H137" s="154" t="s">
        <v>159</v>
      </c>
      <c r="I137" s="127"/>
      <c r="J137" s="127"/>
      <c r="K137" s="127"/>
      <c r="N137" s="105" t="str">
        <f t="shared" si="13"/>
        <v>No</v>
      </c>
    </row>
    <row r="138" spans="1:14" hidden="1">
      <c r="A138" s="96">
        <f t="shared" si="28"/>
        <v>19</v>
      </c>
      <c r="B138" s="96" t="str">
        <f t="shared" si="19"/>
        <v>ค่าใช้จ่ายเดินทางไปต่างประเทศชั่วคราว</v>
      </c>
      <c r="C138" s="96" t="str">
        <f t="shared" si="29"/>
        <v/>
      </c>
      <c r="D138" s="123"/>
      <c r="E138" s="124"/>
      <c r="F138" s="125">
        <v>5000100104</v>
      </c>
      <c r="G138" s="124"/>
      <c r="H138" s="154"/>
      <c r="I138" s="127"/>
      <c r="J138" s="127"/>
      <c r="K138" s="127"/>
      <c r="N138" s="105" t="str">
        <f t="shared" si="13"/>
        <v>No</v>
      </c>
    </row>
    <row r="139" spans="1:14" hidden="1">
      <c r="A139" s="96">
        <f t="shared" si="28"/>
        <v>19</v>
      </c>
      <c r="B139" s="96" t="str">
        <f t="shared" si="19"/>
        <v>ค่าใช้จ่ายเดินทางไปต่างประเทศชั่วคราว</v>
      </c>
      <c r="C139" s="96" t="str">
        <f t="shared" si="29"/>
        <v/>
      </c>
      <c r="D139" s="123"/>
      <c r="E139" s="124"/>
      <c r="F139" s="125">
        <v>5000100104</v>
      </c>
      <c r="G139" s="124"/>
      <c r="H139" s="154"/>
      <c r="I139" s="127"/>
      <c r="J139" s="127"/>
      <c r="K139" s="127"/>
      <c r="N139" s="105" t="str">
        <f t="shared" si="13"/>
        <v>No</v>
      </c>
    </row>
    <row r="140" spans="1:14" hidden="1">
      <c r="A140" s="96">
        <f t="shared" si="28"/>
        <v>19</v>
      </c>
      <c r="B140" s="96" t="str">
        <f t="shared" si="19"/>
        <v>ค่าใช้จ่ายเดินทางไปต่างประเทศชั่วคราว</v>
      </c>
      <c r="C140" s="96" t="str">
        <f t="shared" si="29"/>
        <v/>
      </c>
      <c r="D140" s="123"/>
      <c r="E140" s="124"/>
      <c r="F140" s="125">
        <v>5000100104</v>
      </c>
      <c r="G140" s="124"/>
      <c r="H140" s="154"/>
      <c r="I140" s="127"/>
      <c r="J140" s="127"/>
      <c r="K140" s="127"/>
      <c r="N140" s="105" t="str">
        <f t="shared" si="13"/>
        <v>No</v>
      </c>
    </row>
    <row r="141" spans="1:14" hidden="1">
      <c r="A141" s="96">
        <f t="shared" si="28"/>
        <v>19</v>
      </c>
      <c r="B141" s="96" t="str">
        <f t="shared" si="19"/>
        <v>ค่าใช้จ่ายเดินทางไปต่างประเทศชั่วคราว</v>
      </c>
      <c r="C141" s="96" t="str">
        <f t="shared" si="29"/>
        <v/>
      </c>
      <c r="D141" s="123"/>
      <c r="E141" s="124"/>
      <c r="F141" s="125">
        <v>5000100104</v>
      </c>
      <c r="G141" s="124"/>
      <c r="H141" s="154"/>
      <c r="I141" s="127"/>
      <c r="J141" s="127"/>
      <c r="K141" s="127"/>
      <c r="N141" s="105" t="str">
        <f t="shared" si="13"/>
        <v>No</v>
      </c>
    </row>
    <row r="142" spans="1:14" hidden="1">
      <c r="A142" s="96">
        <f t="shared" si="28"/>
        <v>19</v>
      </c>
      <c r="B142" s="96" t="str">
        <f t="shared" si="19"/>
        <v>ค่าใช้จ่ายเดินทางไปต่างประเทศชั่วคราว</v>
      </c>
      <c r="C142" s="96" t="str">
        <f t="shared" si="29"/>
        <v/>
      </c>
      <c r="D142" s="123"/>
      <c r="E142" s="124"/>
      <c r="F142" s="125">
        <v>5000100104</v>
      </c>
      <c r="G142" s="124"/>
      <c r="H142" s="154"/>
      <c r="I142" s="127"/>
      <c r="J142" s="127"/>
      <c r="K142" s="127"/>
      <c r="N142" s="105" t="str">
        <f t="shared" si="13"/>
        <v>No</v>
      </c>
    </row>
    <row r="143" spans="1:14" hidden="1">
      <c r="A143" s="96">
        <f t="shared" si="28"/>
        <v>19</v>
      </c>
      <c r="B143" s="96" t="str">
        <f t="shared" si="19"/>
        <v>ค่าใช้จ่ายเดินทางไปต่างประเทศชั่วคราว</v>
      </c>
      <c r="C143" s="96" t="str">
        <f t="shared" si="29"/>
        <v/>
      </c>
      <c r="D143" s="123"/>
      <c r="E143" s="124"/>
      <c r="F143" s="125">
        <v>5000100104</v>
      </c>
      <c r="G143" s="124"/>
      <c r="H143" s="154"/>
      <c r="I143" s="127"/>
      <c r="J143" s="127"/>
      <c r="K143" s="127"/>
      <c r="N143" s="105" t="str">
        <f t="shared" si="13"/>
        <v>No</v>
      </c>
    </row>
    <row r="144" spans="1:14" hidden="1">
      <c r="A144" s="96">
        <f t="shared" si="28"/>
        <v>19</v>
      </c>
      <c r="B144" s="96" t="str">
        <f t="shared" si="19"/>
        <v>ค่าใช้จ่ายเดินทางไปต่างประเทศชั่วคราว</v>
      </c>
      <c r="C144" s="96" t="str">
        <f t="shared" si="29"/>
        <v/>
      </c>
      <c r="D144" s="123"/>
      <c r="E144" s="124"/>
      <c r="F144" s="125">
        <v>5000100104</v>
      </c>
      <c r="G144" s="124"/>
      <c r="H144" s="154"/>
      <c r="I144" s="127"/>
      <c r="J144" s="127"/>
      <c r="K144" s="127"/>
      <c r="N144" s="105" t="str">
        <f t="shared" si="13"/>
        <v>No</v>
      </c>
    </row>
    <row r="145" spans="1:14">
      <c r="A145" s="96">
        <f t="shared" si="20"/>
        <v>19</v>
      </c>
      <c r="B145" s="96" t="s">
        <v>54</v>
      </c>
      <c r="C145" s="96" t="str">
        <f t="shared" si="18"/>
        <v/>
      </c>
      <c r="D145" s="130"/>
      <c r="E145" s="131"/>
      <c r="F145" s="132"/>
      <c r="G145" s="132"/>
      <c r="H145" s="133" t="s">
        <v>54</v>
      </c>
      <c r="I145" s="134"/>
      <c r="J145" s="134"/>
      <c r="K145" s="134"/>
      <c r="M145" s="104" t="s">
        <v>42</v>
      </c>
      <c r="N145" s="105" t="str">
        <f t="shared" ref="N145:N208" si="30">IF(M145&lt;&gt;"",M145,IF(SUM(I145:K145)&lt;&gt;0,"Yes","No"))</f>
        <v>Yes</v>
      </c>
    </row>
    <row r="146" spans="1:14">
      <c r="A146" s="96">
        <f t="shared" si="20"/>
        <v>19</v>
      </c>
      <c r="B146" s="96" t="str">
        <f t="shared" si="19"/>
        <v>งบลงทุน (ครุภัณฑ์ ที่ดิน สิ่งก่อสร้าง)</v>
      </c>
      <c r="C146" s="96" t="str">
        <f t="shared" si="18"/>
        <v/>
      </c>
      <c r="D146" s="128"/>
      <c r="E146" s="120"/>
      <c r="F146" s="120"/>
      <c r="G146" s="120"/>
      <c r="H146" s="121" t="s">
        <v>160</v>
      </c>
      <c r="I146" s="122">
        <f>SUM(I147:I152)</f>
        <v>0</v>
      </c>
      <c r="J146" s="122">
        <f>SUM(J147:J152)</f>
        <v>0</v>
      </c>
      <c r="K146" s="122">
        <f>SUM(K147:K152)</f>
        <v>0</v>
      </c>
      <c r="M146" s="104" t="s">
        <v>42</v>
      </c>
      <c r="N146" s="105" t="str">
        <f t="shared" si="30"/>
        <v>Yes</v>
      </c>
    </row>
    <row r="147" spans="1:14" hidden="1">
      <c r="A147" s="96">
        <f t="shared" si="20"/>
        <v>19</v>
      </c>
      <c r="B147" s="96" t="str">
        <f t="shared" si="19"/>
        <v>งบลงทุน (ครุภัณฑ์ ที่ดิน สิ่งก่อสร้าง)</v>
      </c>
      <c r="C147" s="96" t="str">
        <f t="shared" si="18"/>
        <v/>
      </c>
      <c r="D147" s="123"/>
      <c r="E147" s="124"/>
      <c r="F147" s="125">
        <v>3100101008</v>
      </c>
      <c r="G147" s="124"/>
      <c r="H147" s="154" t="s">
        <v>161</v>
      </c>
      <c r="I147" s="127"/>
      <c r="J147" s="127"/>
      <c r="K147" s="127"/>
      <c r="N147" s="105" t="str">
        <f t="shared" si="30"/>
        <v>No</v>
      </c>
    </row>
    <row r="148" spans="1:14" hidden="1">
      <c r="A148" s="96">
        <f t="shared" si="20"/>
        <v>19</v>
      </c>
      <c r="B148" s="96" t="str">
        <f t="shared" si="19"/>
        <v>งบลงทุน (ครุภัณฑ์ ที่ดิน สิ่งก่อสร้าง)</v>
      </c>
      <c r="C148" s="96" t="str">
        <f t="shared" si="18"/>
        <v/>
      </c>
      <c r="D148" s="123"/>
      <c r="E148" s="124"/>
      <c r="F148" s="125">
        <v>3100101009</v>
      </c>
      <c r="G148" s="124"/>
      <c r="H148" s="154" t="s">
        <v>162</v>
      </c>
      <c r="I148" s="127"/>
      <c r="J148" s="127"/>
      <c r="K148" s="127"/>
      <c r="N148" s="105" t="str">
        <f t="shared" si="30"/>
        <v>No</v>
      </c>
    </row>
    <row r="149" spans="1:14" hidden="1">
      <c r="A149" s="96">
        <f t="shared" si="20"/>
        <v>19</v>
      </c>
      <c r="B149" s="96" t="str">
        <f t="shared" si="19"/>
        <v>งบลงทุน (ครุภัณฑ์ ที่ดิน สิ่งก่อสร้าง)</v>
      </c>
      <c r="C149" s="96" t="str">
        <f t="shared" si="18"/>
        <v/>
      </c>
      <c r="D149" s="123"/>
      <c r="E149" s="124"/>
      <c r="F149" s="125">
        <v>3100102001</v>
      </c>
      <c r="G149" s="124"/>
      <c r="H149" s="154" t="s">
        <v>163</v>
      </c>
      <c r="I149" s="127"/>
      <c r="J149" s="127"/>
      <c r="K149" s="127"/>
      <c r="N149" s="105" t="str">
        <f t="shared" si="30"/>
        <v>No</v>
      </c>
    </row>
    <row r="150" spans="1:14" hidden="1">
      <c r="A150" s="96">
        <f t="shared" si="20"/>
        <v>19</v>
      </c>
      <c r="B150" s="96" t="str">
        <f t="shared" si="19"/>
        <v>งบลงทุน (ครุภัณฑ์ ที่ดิน สิ่งก่อสร้าง)</v>
      </c>
      <c r="C150" s="96" t="str">
        <f t="shared" si="18"/>
        <v/>
      </c>
      <c r="D150" s="123"/>
      <c r="E150" s="124"/>
      <c r="F150" s="125">
        <v>3100103044</v>
      </c>
      <c r="G150" s="124"/>
      <c r="H150" s="154" t="s">
        <v>164</v>
      </c>
      <c r="I150" s="127"/>
      <c r="J150" s="127"/>
      <c r="K150" s="127"/>
      <c r="N150" s="105" t="str">
        <f t="shared" si="30"/>
        <v>No</v>
      </c>
    </row>
    <row r="151" spans="1:14" hidden="1">
      <c r="A151" s="96">
        <f t="shared" si="20"/>
        <v>19</v>
      </c>
      <c r="B151" s="96" t="str">
        <f t="shared" si="19"/>
        <v>งบลงทุน (ครุภัณฑ์ ที่ดิน สิ่งก่อสร้าง)</v>
      </c>
      <c r="C151" s="96" t="str">
        <f t="shared" si="18"/>
        <v/>
      </c>
      <c r="D151" s="123"/>
      <c r="E151" s="124"/>
      <c r="F151" s="125">
        <v>3100103045</v>
      </c>
      <c r="G151" s="124"/>
      <c r="H151" s="154"/>
      <c r="I151" s="127"/>
      <c r="J151" s="127">
        <v>0</v>
      </c>
      <c r="K151" s="127"/>
      <c r="N151" s="105" t="str">
        <f t="shared" si="30"/>
        <v>No</v>
      </c>
    </row>
    <row r="152" spans="1:14" hidden="1">
      <c r="A152" s="96">
        <f t="shared" si="20"/>
        <v>19</v>
      </c>
      <c r="B152" s="96" t="str">
        <f t="shared" si="19"/>
        <v>งบลงทุน (ครุภัณฑ์ ที่ดิน สิ่งก่อสร้าง)</v>
      </c>
      <c r="C152" s="96" t="str">
        <f t="shared" si="18"/>
        <v/>
      </c>
      <c r="D152" s="123"/>
      <c r="E152" s="124"/>
      <c r="F152" s="125">
        <v>3200101001</v>
      </c>
      <c r="G152" s="124"/>
      <c r="H152" s="154"/>
      <c r="I152" s="127"/>
      <c r="J152" s="127"/>
      <c r="K152" s="127"/>
      <c r="N152" s="105" t="str">
        <f t="shared" si="30"/>
        <v>No</v>
      </c>
    </row>
    <row r="153" spans="1:14">
      <c r="A153" s="96">
        <f t="shared" si="20"/>
        <v>19</v>
      </c>
      <c r="B153" s="96" t="s">
        <v>50</v>
      </c>
      <c r="C153" s="96" t="str">
        <f t="shared" si="18"/>
        <v/>
      </c>
      <c r="D153" s="130"/>
      <c r="E153" s="131"/>
      <c r="F153" s="132"/>
      <c r="G153" s="132"/>
      <c r="H153" s="133" t="s">
        <v>165</v>
      </c>
      <c r="I153" s="134">
        <f>SUM(I154:I169)</f>
        <v>0</v>
      </c>
      <c r="J153" s="134">
        <f>SUM(J154:J169)</f>
        <v>2548</v>
      </c>
      <c r="K153" s="134">
        <f>SUM(K154:K169)</f>
        <v>0</v>
      </c>
      <c r="M153" s="104" t="s">
        <v>42</v>
      </c>
      <c r="N153" s="105" t="str">
        <f t="shared" si="30"/>
        <v>Yes</v>
      </c>
    </row>
    <row r="154" spans="1:14" hidden="1">
      <c r="A154" s="96">
        <f t="shared" si="20"/>
        <v>19</v>
      </c>
      <c r="B154" s="96" t="str">
        <f t="shared" si="19"/>
        <v>เงินรับฝาก (โครงการ/รายได้แผ่นดิน)</v>
      </c>
      <c r="C154" s="96" t="str">
        <f t="shared" si="18"/>
        <v/>
      </c>
      <c r="D154" s="123"/>
      <c r="E154" s="124"/>
      <c r="F154" s="125">
        <v>2200105001</v>
      </c>
      <c r="G154" s="124"/>
      <c r="H154" s="154"/>
      <c r="I154" s="127"/>
      <c r="J154" s="127"/>
      <c r="K154" s="127"/>
      <c r="N154" s="105" t="str">
        <f t="shared" si="30"/>
        <v>No</v>
      </c>
    </row>
    <row r="155" spans="1:14" hidden="1">
      <c r="A155" s="96">
        <f t="shared" si="20"/>
        <v>19</v>
      </c>
      <c r="B155" s="96" t="str">
        <f t="shared" si="19"/>
        <v>เงินรับฝาก (โครงการ/รายได้แผ่นดิน)</v>
      </c>
      <c r="C155" s="96" t="str">
        <f t="shared" si="18"/>
        <v/>
      </c>
      <c r="D155" s="123"/>
      <c r="E155" s="124"/>
      <c r="F155" s="125">
        <v>2200105002</v>
      </c>
      <c r="G155" s="124"/>
      <c r="H155" s="154"/>
      <c r="I155" s="127"/>
      <c r="J155" s="127"/>
      <c r="K155" s="127"/>
      <c r="N155" s="105" t="str">
        <f t="shared" si="30"/>
        <v>No</v>
      </c>
    </row>
    <row r="156" spans="1:14" hidden="1">
      <c r="A156" s="96">
        <f t="shared" si="20"/>
        <v>19</v>
      </c>
      <c r="B156" s="96" t="str">
        <f t="shared" si="19"/>
        <v>เงินรับฝาก (โครงการ/รายได้แผ่นดิน)</v>
      </c>
      <c r="C156" s="96" t="str">
        <f t="shared" si="18"/>
        <v/>
      </c>
      <c r="D156" s="123"/>
      <c r="E156" s="124"/>
      <c r="F156" s="125">
        <v>2200105003</v>
      </c>
      <c r="G156" s="124"/>
      <c r="H156" s="154"/>
      <c r="I156" s="127"/>
      <c r="J156" s="127"/>
      <c r="K156" s="127"/>
      <c r="N156" s="105" t="str">
        <f t="shared" si="30"/>
        <v>No</v>
      </c>
    </row>
    <row r="157" spans="1:14">
      <c r="A157" s="96">
        <f t="shared" si="20"/>
        <v>20</v>
      </c>
      <c r="B157" s="96" t="str">
        <f t="shared" si="19"/>
        <v>เงินรับฝาก (โครงการ/รายได้แผ่นดิน)</v>
      </c>
      <c r="C157" s="96" t="str">
        <f t="shared" si="18"/>
        <v>20_เงินรับฝาก (โครงการ/รายได้แผ่นดิน)</v>
      </c>
      <c r="D157" s="123" t="s">
        <v>306</v>
      </c>
      <c r="E157" s="124"/>
      <c r="F157" s="125">
        <v>2200105010</v>
      </c>
      <c r="G157" s="124"/>
      <c r="H157" s="154" t="s">
        <v>283</v>
      </c>
      <c r="I157" s="127"/>
      <c r="J157" s="127">
        <v>2548</v>
      </c>
      <c r="K157" s="127"/>
      <c r="N157" s="105" t="str">
        <f t="shared" si="30"/>
        <v>Yes</v>
      </c>
    </row>
    <row r="158" spans="1:14" hidden="1">
      <c r="A158" s="96">
        <f t="shared" si="20"/>
        <v>20</v>
      </c>
      <c r="B158" s="96" t="str">
        <f t="shared" si="19"/>
        <v>เงินรับฝาก (โครงการ/รายได้แผ่นดิน)</v>
      </c>
      <c r="C158" s="96" t="str">
        <f t="shared" si="18"/>
        <v/>
      </c>
      <c r="D158" s="123"/>
      <c r="E158" s="124"/>
      <c r="F158" s="125">
        <v>2200105011</v>
      </c>
      <c r="G158" s="124"/>
      <c r="H158" s="154"/>
      <c r="I158" s="127"/>
      <c r="J158" s="127"/>
      <c r="K158" s="127"/>
      <c r="N158" s="105" t="str">
        <f t="shared" si="30"/>
        <v>No</v>
      </c>
    </row>
    <row r="159" spans="1:14" hidden="1">
      <c r="A159" s="96">
        <f t="shared" si="20"/>
        <v>20</v>
      </c>
      <c r="B159" s="96" t="str">
        <f t="shared" si="19"/>
        <v>เงินรับฝาก (โครงการ/รายได้แผ่นดิน)</v>
      </c>
      <c r="C159" s="96" t="str">
        <f t="shared" si="18"/>
        <v/>
      </c>
      <c r="D159" s="123"/>
      <c r="E159" s="124"/>
      <c r="F159" s="125">
        <v>2200105012</v>
      </c>
      <c r="G159" s="124"/>
      <c r="H159" s="154"/>
      <c r="I159" s="127"/>
      <c r="J159" s="127"/>
      <c r="K159" s="127"/>
      <c r="N159" s="105" t="str">
        <f t="shared" si="30"/>
        <v>No</v>
      </c>
    </row>
    <row r="160" spans="1:14" hidden="1">
      <c r="A160" s="96">
        <f t="shared" si="20"/>
        <v>20</v>
      </c>
      <c r="B160" s="96" t="str">
        <f t="shared" si="19"/>
        <v>เงินรับฝาก (โครงการ/รายได้แผ่นดิน)</v>
      </c>
      <c r="C160" s="96" t="str">
        <f t="shared" ref="C160:C169" si="31">IF(A160&lt;&gt;A159,A160&amp;"_"&amp;B160,"")</f>
        <v/>
      </c>
      <c r="D160" s="137"/>
      <c r="E160" s="138"/>
      <c r="F160" s="125">
        <v>2200105012</v>
      </c>
      <c r="G160" s="138"/>
      <c r="H160" s="140"/>
      <c r="I160" s="127"/>
      <c r="J160" s="127"/>
      <c r="K160" s="127"/>
      <c r="N160" s="105" t="str">
        <f t="shared" si="30"/>
        <v>No</v>
      </c>
    </row>
    <row r="161" spans="1:14" hidden="1">
      <c r="A161" s="96">
        <f t="shared" si="20"/>
        <v>20</v>
      </c>
      <c r="B161" s="96" t="str">
        <f t="shared" si="19"/>
        <v>เงินรับฝาก (โครงการ/รายได้แผ่นดิน)</v>
      </c>
      <c r="C161" s="96" t="str">
        <f t="shared" si="31"/>
        <v/>
      </c>
      <c r="D161" s="137"/>
      <c r="E161" s="138"/>
      <c r="F161" s="125">
        <v>2200105012</v>
      </c>
      <c r="G161" s="138"/>
      <c r="H161" s="140"/>
      <c r="I161" s="127"/>
      <c r="J161" s="127"/>
      <c r="K161" s="127"/>
      <c r="N161" s="105" t="str">
        <f t="shared" si="30"/>
        <v>No</v>
      </c>
    </row>
    <row r="162" spans="1:14" hidden="1">
      <c r="A162" s="96">
        <f t="shared" si="20"/>
        <v>20</v>
      </c>
      <c r="B162" s="96" t="str">
        <f t="shared" si="19"/>
        <v>เงินรับฝาก (โครงการ/รายได้แผ่นดิน)</v>
      </c>
      <c r="C162" s="96" t="str">
        <f t="shared" si="31"/>
        <v/>
      </c>
      <c r="D162" s="137"/>
      <c r="E162" s="138"/>
      <c r="F162" s="125">
        <v>2200105012</v>
      </c>
      <c r="G162" s="138"/>
      <c r="H162" s="140"/>
      <c r="I162" s="127"/>
      <c r="J162" s="127"/>
      <c r="K162" s="127"/>
      <c r="N162" s="105" t="str">
        <f t="shared" si="30"/>
        <v>No</v>
      </c>
    </row>
    <row r="163" spans="1:14" hidden="1">
      <c r="A163" s="96">
        <f t="shared" si="20"/>
        <v>20</v>
      </c>
      <c r="B163" s="96" t="str">
        <f t="shared" si="19"/>
        <v>เงินรับฝาก (โครงการ/รายได้แผ่นดิน)</v>
      </c>
      <c r="C163" s="96" t="str">
        <f t="shared" si="31"/>
        <v/>
      </c>
      <c r="D163" s="137"/>
      <c r="E163" s="138"/>
      <c r="F163" s="125">
        <v>2200105012</v>
      </c>
      <c r="G163" s="138"/>
      <c r="H163" s="140"/>
      <c r="I163" s="127"/>
      <c r="J163" s="127"/>
      <c r="K163" s="127"/>
      <c r="N163" s="105" t="str">
        <f t="shared" si="30"/>
        <v>No</v>
      </c>
    </row>
    <row r="164" spans="1:14" hidden="1">
      <c r="A164" s="96">
        <f t="shared" si="20"/>
        <v>20</v>
      </c>
      <c r="B164" s="96" t="str">
        <f t="shared" si="19"/>
        <v>เงินรับฝาก (โครงการ/รายได้แผ่นดิน)</v>
      </c>
      <c r="C164" s="96" t="str">
        <f t="shared" si="31"/>
        <v/>
      </c>
      <c r="D164" s="137"/>
      <c r="E164" s="138"/>
      <c r="F164" s="125">
        <v>2200105012</v>
      </c>
      <c r="G164" s="138"/>
      <c r="H164" s="140"/>
      <c r="I164" s="127"/>
      <c r="J164" s="127"/>
      <c r="K164" s="127"/>
      <c r="N164" s="105" t="str">
        <f t="shared" si="30"/>
        <v>No</v>
      </c>
    </row>
    <row r="165" spans="1:14" hidden="1">
      <c r="A165" s="96">
        <f t="shared" si="20"/>
        <v>20</v>
      </c>
      <c r="B165" s="96" t="str">
        <f t="shared" si="19"/>
        <v>เงินรับฝาก (โครงการ/รายได้แผ่นดิน)</v>
      </c>
      <c r="C165" s="96" t="str">
        <f t="shared" si="31"/>
        <v/>
      </c>
      <c r="D165" s="137"/>
      <c r="E165" s="138"/>
      <c r="F165" s="125">
        <v>2200105012</v>
      </c>
      <c r="G165" s="138"/>
      <c r="H165" s="140"/>
      <c r="I165" s="127"/>
      <c r="J165" s="127"/>
      <c r="K165" s="127"/>
      <c r="N165" s="105" t="str">
        <f t="shared" si="30"/>
        <v>No</v>
      </c>
    </row>
    <row r="166" spans="1:14" hidden="1">
      <c r="A166" s="96">
        <f t="shared" si="20"/>
        <v>20</v>
      </c>
      <c r="B166" s="96" t="str">
        <f t="shared" si="19"/>
        <v>เงินรับฝาก (โครงการ/รายได้แผ่นดิน)</v>
      </c>
      <c r="C166" s="96" t="str">
        <f t="shared" si="31"/>
        <v/>
      </c>
      <c r="D166" s="137"/>
      <c r="E166" s="138"/>
      <c r="F166" s="125">
        <v>2200105012</v>
      </c>
      <c r="G166" s="138"/>
      <c r="H166" s="140"/>
      <c r="I166" s="127"/>
      <c r="J166" s="127"/>
      <c r="K166" s="127"/>
      <c r="N166" s="105" t="str">
        <f t="shared" si="30"/>
        <v>No</v>
      </c>
    </row>
    <row r="167" spans="1:14" hidden="1">
      <c r="A167" s="96">
        <f t="shared" si="20"/>
        <v>20</v>
      </c>
      <c r="B167" s="96" t="str">
        <f t="shared" si="19"/>
        <v>เงินรับฝาก (โครงการ/รายได้แผ่นดิน)</v>
      </c>
      <c r="C167" s="96" t="str">
        <f t="shared" si="31"/>
        <v/>
      </c>
      <c r="D167" s="137"/>
      <c r="E167" s="138"/>
      <c r="F167" s="125">
        <v>2200105012</v>
      </c>
      <c r="G167" s="138"/>
      <c r="H167" s="140"/>
      <c r="I167" s="127"/>
      <c r="J167" s="127"/>
      <c r="K167" s="127"/>
      <c r="N167" s="105" t="str">
        <f t="shared" si="30"/>
        <v>No</v>
      </c>
    </row>
    <row r="168" spans="1:14" hidden="1">
      <c r="A168" s="96">
        <f t="shared" si="20"/>
        <v>20</v>
      </c>
      <c r="B168" s="96" t="str">
        <f t="shared" si="19"/>
        <v>เงินรับฝาก (โครงการ/รายได้แผ่นดิน)</v>
      </c>
      <c r="C168" s="96" t="str">
        <f t="shared" si="31"/>
        <v/>
      </c>
      <c r="D168" s="137"/>
      <c r="E168" s="138"/>
      <c r="F168" s="125">
        <v>2200105012</v>
      </c>
      <c r="G168" s="138"/>
      <c r="H168" s="140"/>
      <c r="I168" s="127"/>
      <c r="J168" s="127"/>
      <c r="K168" s="127"/>
      <c r="N168" s="105" t="str">
        <f t="shared" si="30"/>
        <v>No</v>
      </c>
    </row>
    <row r="169" spans="1:14" hidden="1">
      <c r="A169" s="96">
        <f t="shared" si="20"/>
        <v>20</v>
      </c>
      <c r="B169" s="96" t="str">
        <f t="shared" si="19"/>
        <v>เงินรับฝาก (โครงการ/รายได้แผ่นดิน)</v>
      </c>
      <c r="C169" s="96" t="str">
        <f t="shared" si="31"/>
        <v/>
      </c>
      <c r="D169" s="137"/>
      <c r="E169" s="138"/>
      <c r="F169" s="139">
        <v>2400102005</v>
      </c>
      <c r="G169" s="138"/>
      <c r="H169" s="140"/>
      <c r="I169" s="127"/>
      <c r="J169" s="127"/>
      <c r="K169" s="127"/>
      <c r="N169" s="105" t="str">
        <f t="shared" si="30"/>
        <v>No</v>
      </c>
    </row>
    <row r="170" spans="1:14">
      <c r="A170" s="96">
        <f t="shared" si="20"/>
        <v>20</v>
      </c>
      <c r="B170" s="96" t="str">
        <f t="shared" si="19"/>
        <v>เงินรับฝาก (โครงการ/รายได้แผ่นดิน)</v>
      </c>
      <c r="C170" s="96" t="str">
        <f t="shared" si="18"/>
        <v/>
      </c>
      <c r="D170" s="161"/>
      <c r="E170" s="161"/>
      <c r="F170" s="161"/>
      <c r="G170" s="161"/>
      <c r="H170" s="161" t="s">
        <v>166</v>
      </c>
      <c r="I170" s="162">
        <f>I131+I133+I146+I153</f>
        <v>0</v>
      </c>
      <c r="J170" s="162">
        <f>J131+J133+J146+J153</f>
        <v>13558.75</v>
      </c>
      <c r="K170" s="162">
        <f>K131+K133+K146+K153</f>
        <v>102225.59</v>
      </c>
      <c r="M170" s="104" t="s">
        <v>42</v>
      </c>
      <c r="N170" s="105" t="str">
        <f t="shared" si="30"/>
        <v>Yes</v>
      </c>
    </row>
    <row r="171" spans="1:14" ht="6" customHeight="1">
      <c r="M171" s="104" t="s">
        <v>42</v>
      </c>
      <c r="N171" s="105" t="str">
        <f t="shared" si="30"/>
        <v>Yes</v>
      </c>
    </row>
    <row r="172" spans="1:14">
      <c r="H172" s="163" t="s">
        <v>77</v>
      </c>
      <c r="I172" s="100"/>
      <c r="M172" s="104" t="s">
        <v>42</v>
      </c>
      <c r="N172" s="105" t="str">
        <f t="shared" si="30"/>
        <v>Yes</v>
      </c>
    </row>
    <row r="173" spans="1:14" ht="5.25" customHeight="1">
      <c r="M173" s="104" t="s">
        <v>42</v>
      </c>
      <c r="N173" s="105" t="str">
        <f t="shared" si="30"/>
        <v>Yes</v>
      </c>
    </row>
    <row r="174" spans="1:14">
      <c r="H174" s="164" t="s">
        <v>78</v>
      </c>
      <c r="I174" s="165"/>
      <c r="J174" s="165"/>
      <c r="M174" s="104" t="s">
        <v>42</v>
      </c>
      <c r="N174" s="105" t="str">
        <f t="shared" si="30"/>
        <v>Yes</v>
      </c>
    </row>
    <row r="175" spans="1:14">
      <c r="H175" s="166" t="s">
        <v>256</v>
      </c>
      <c r="I175" s="165"/>
      <c r="J175" s="165"/>
      <c r="M175" s="104" t="s">
        <v>42</v>
      </c>
      <c r="N175" s="105" t="str">
        <f t="shared" si="30"/>
        <v>Yes</v>
      </c>
    </row>
    <row r="176" spans="1:14" ht="3.75" customHeight="1">
      <c r="H176" s="164"/>
      <c r="I176" s="165"/>
      <c r="J176" s="165"/>
      <c r="M176" s="104" t="s">
        <v>42</v>
      </c>
      <c r="N176" s="105" t="str">
        <f t="shared" si="30"/>
        <v>Yes</v>
      </c>
    </row>
    <row r="177" spans="8:14">
      <c r="H177" s="164" t="s">
        <v>80</v>
      </c>
      <c r="I177" s="165"/>
      <c r="J177" s="165"/>
      <c r="M177" s="104" t="s">
        <v>42</v>
      </c>
      <c r="N177" s="105" t="str">
        <f t="shared" si="30"/>
        <v>Yes</v>
      </c>
    </row>
    <row r="178" spans="8:14">
      <c r="H178" s="166" t="s">
        <v>257</v>
      </c>
      <c r="I178" s="165"/>
      <c r="J178" s="165"/>
      <c r="M178" s="104" t="s">
        <v>42</v>
      </c>
      <c r="N178" s="105" t="str">
        <f t="shared" si="30"/>
        <v>Yes</v>
      </c>
    </row>
    <row r="179" spans="8:14">
      <c r="M179" s="104" t="s">
        <v>42</v>
      </c>
      <c r="N179" s="105" t="str">
        <f t="shared" si="30"/>
        <v>Yes</v>
      </c>
    </row>
    <row r="180" spans="8:14">
      <c r="M180" s="104" t="s">
        <v>42</v>
      </c>
      <c r="N180" s="105" t="str">
        <f t="shared" si="30"/>
        <v>Yes</v>
      </c>
    </row>
    <row r="181" spans="8:14">
      <c r="N181" s="105" t="str">
        <f t="shared" si="30"/>
        <v>No</v>
      </c>
    </row>
    <row r="182" spans="8:14">
      <c r="N182" s="105" t="str">
        <f t="shared" si="30"/>
        <v>No</v>
      </c>
    </row>
    <row r="183" spans="8:14">
      <c r="N183" s="105" t="str">
        <f t="shared" si="30"/>
        <v>No</v>
      </c>
    </row>
    <row r="184" spans="8:14">
      <c r="N184" s="105" t="str">
        <f t="shared" si="30"/>
        <v>No</v>
      </c>
    </row>
    <row r="185" spans="8:14">
      <c r="N185" s="105" t="str">
        <f t="shared" si="30"/>
        <v>No</v>
      </c>
    </row>
    <row r="186" spans="8:14">
      <c r="N186" s="105" t="str">
        <f t="shared" si="30"/>
        <v>No</v>
      </c>
    </row>
    <row r="187" spans="8:14">
      <c r="N187" s="105" t="str">
        <f t="shared" si="30"/>
        <v>No</v>
      </c>
    </row>
    <row r="188" spans="8:14">
      <c r="N188" s="105" t="str">
        <f t="shared" si="30"/>
        <v>No</v>
      </c>
    </row>
    <row r="189" spans="8:14">
      <c r="N189" s="105" t="str">
        <f t="shared" si="30"/>
        <v>No</v>
      </c>
    </row>
    <row r="190" spans="8:14">
      <c r="N190" s="105" t="str">
        <f t="shared" si="30"/>
        <v>No</v>
      </c>
    </row>
    <row r="191" spans="8:14">
      <c r="N191" s="105" t="str">
        <f t="shared" si="30"/>
        <v>No</v>
      </c>
    </row>
    <row r="192" spans="8:14">
      <c r="N192" s="105" t="str">
        <f t="shared" si="30"/>
        <v>No</v>
      </c>
    </row>
    <row r="193" spans="14:14">
      <c r="N193" s="105" t="str">
        <f t="shared" si="30"/>
        <v>No</v>
      </c>
    </row>
    <row r="194" spans="14:14">
      <c r="N194" s="105" t="str">
        <f t="shared" si="30"/>
        <v>No</v>
      </c>
    </row>
    <row r="195" spans="14:14">
      <c r="N195" s="105" t="str">
        <f t="shared" si="30"/>
        <v>No</v>
      </c>
    </row>
    <row r="196" spans="14:14">
      <c r="N196" s="105" t="str">
        <f t="shared" si="30"/>
        <v>No</v>
      </c>
    </row>
    <row r="197" spans="14:14">
      <c r="N197" s="105" t="str">
        <f t="shared" si="30"/>
        <v>No</v>
      </c>
    </row>
    <row r="198" spans="14:14">
      <c r="N198" s="105" t="str">
        <f t="shared" si="30"/>
        <v>No</v>
      </c>
    </row>
    <row r="199" spans="14:14">
      <c r="N199" s="105" t="str">
        <f t="shared" si="30"/>
        <v>No</v>
      </c>
    </row>
    <row r="200" spans="14:14">
      <c r="N200" s="105" t="str">
        <f t="shared" si="30"/>
        <v>No</v>
      </c>
    </row>
    <row r="201" spans="14:14">
      <c r="N201" s="105" t="str">
        <f t="shared" si="30"/>
        <v>No</v>
      </c>
    </row>
    <row r="202" spans="14:14">
      <c r="N202" s="105" t="str">
        <f t="shared" si="30"/>
        <v>No</v>
      </c>
    </row>
    <row r="203" spans="14:14">
      <c r="N203" s="105" t="str">
        <f t="shared" si="30"/>
        <v>No</v>
      </c>
    </row>
    <row r="204" spans="14:14">
      <c r="N204" s="105" t="str">
        <f t="shared" si="30"/>
        <v>No</v>
      </c>
    </row>
    <row r="205" spans="14:14">
      <c r="N205" s="105" t="str">
        <f t="shared" si="30"/>
        <v>No</v>
      </c>
    </row>
    <row r="206" spans="14:14">
      <c r="N206" s="105" t="str">
        <f t="shared" si="30"/>
        <v>No</v>
      </c>
    </row>
    <row r="207" spans="14:14">
      <c r="N207" s="105" t="str">
        <f t="shared" si="30"/>
        <v>No</v>
      </c>
    </row>
    <row r="208" spans="14:14">
      <c r="N208" s="105" t="str">
        <f t="shared" si="30"/>
        <v>No</v>
      </c>
    </row>
    <row r="209" spans="14:14">
      <c r="N209" s="105" t="str">
        <f t="shared" ref="N209:N272" si="32">IF(M209&lt;&gt;"",M209,IF(SUM(I209:K209)&lt;&gt;0,"Yes","No"))</f>
        <v>No</v>
      </c>
    </row>
    <row r="210" spans="14:14">
      <c r="N210" s="105" t="str">
        <f t="shared" si="32"/>
        <v>No</v>
      </c>
    </row>
    <row r="211" spans="14:14">
      <c r="N211" s="105" t="str">
        <f t="shared" si="32"/>
        <v>No</v>
      </c>
    </row>
    <row r="212" spans="14:14">
      <c r="N212" s="105" t="str">
        <f t="shared" si="32"/>
        <v>No</v>
      </c>
    </row>
    <row r="213" spans="14:14">
      <c r="N213" s="105" t="str">
        <f t="shared" si="32"/>
        <v>No</v>
      </c>
    </row>
    <row r="214" spans="14:14">
      <c r="N214" s="105" t="str">
        <f t="shared" si="32"/>
        <v>No</v>
      </c>
    </row>
    <row r="215" spans="14:14">
      <c r="N215" s="105" t="str">
        <f t="shared" si="32"/>
        <v>No</v>
      </c>
    </row>
    <row r="216" spans="14:14">
      <c r="N216" s="105" t="str">
        <f t="shared" si="32"/>
        <v>No</v>
      </c>
    </row>
    <row r="217" spans="14:14">
      <c r="N217" s="105" t="str">
        <f t="shared" si="32"/>
        <v>No</v>
      </c>
    </row>
    <row r="218" spans="14:14">
      <c r="N218" s="105" t="str">
        <f t="shared" si="32"/>
        <v>No</v>
      </c>
    </row>
    <row r="219" spans="14:14">
      <c r="N219" s="105" t="str">
        <f t="shared" si="32"/>
        <v>No</v>
      </c>
    </row>
    <row r="220" spans="14:14">
      <c r="N220" s="105" t="str">
        <f t="shared" si="32"/>
        <v>No</v>
      </c>
    </row>
    <row r="221" spans="14:14">
      <c r="N221" s="105" t="str">
        <f t="shared" si="32"/>
        <v>No</v>
      </c>
    </row>
    <row r="222" spans="14:14">
      <c r="N222" s="105" t="str">
        <f t="shared" si="32"/>
        <v>No</v>
      </c>
    </row>
    <row r="223" spans="14:14">
      <c r="N223" s="105" t="str">
        <f t="shared" si="32"/>
        <v>No</v>
      </c>
    </row>
    <row r="224" spans="14:14">
      <c r="N224" s="105" t="str">
        <f t="shared" si="32"/>
        <v>No</v>
      </c>
    </row>
    <row r="225" spans="14:14">
      <c r="N225" s="105" t="str">
        <f t="shared" si="32"/>
        <v>No</v>
      </c>
    </row>
    <row r="226" spans="14:14">
      <c r="N226" s="105" t="str">
        <f t="shared" si="32"/>
        <v>No</v>
      </c>
    </row>
    <row r="227" spans="14:14">
      <c r="N227" s="105" t="str">
        <f t="shared" si="32"/>
        <v>No</v>
      </c>
    </row>
    <row r="228" spans="14:14">
      <c r="N228" s="105" t="str">
        <f t="shared" si="32"/>
        <v>No</v>
      </c>
    </row>
    <row r="229" spans="14:14">
      <c r="N229" s="105" t="str">
        <f t="shared" si="32"/>
        <v>No</v>
      </c>
    </row>
    <row r="230" spans="14:14">
      <c r="N230" s="105" t="str">
        <f t="shared" si="32"/>
        <v>No</v>
      </c>
    </row>
    <row r="231" spans="14:14">
      <c r="N231" s="105" t="str">
        <f t="shared" si="32"/>
        <v>No</v>
      </c>
    </row>
    <row r="232" spans="14:14">
      <c r="N232" s="105" t="str">
        <f t="shared" si="32"/>
        <v>No</v>
      </c>
    </row>
    <row r="233" spans="14:14">
      <c r="N233" s="105" t="str">
        <f t="shared" si="32"/>
        <v>No</v>
      </c>
    </row>
    <row r="234" spans="14:14">
      <c r="N234" s="105" t="str">
        <f t="shared" si="32"/>
        <v>No</v>
      </c>
    </row>
    <row r="235" spans="14:14">
      <c r="N235" s="105" t="str">
        <f t="shared" si="32"/>
        <v>No</v>
      </c>
    </row>
    <row r="236" spans="14:14">
      <c r="N236" s="105" t="str">
        <f t="shared" si="32"/>
        <v>No</v>
      </c>
    </row>
    <row r="237" spans="14:14">
      <c r="N237" s="105" t="str">
        <f t="shared" si="32"/>
        <v>No</v>
      </c>
    </row>
    <row r="238" spans="14:14">
      <c r="N238" s="105" t="str">
        <f t="shared" si="32"/>
        <v>No</v>
      </c>
    </row>
    <row r="239" spans="14:14">
      <c r="N239" s="105" t="str">
        <f t="shared" si="32"/>
        <v>No</v>
      </c>
    </row>
    <row r="240" spans="14:14">
      <c r="N240" s="105" t="str">
        <f t="shared" si="32"/>
        <v>No</v>
      </c>
    </row>
    <row r="241" spans="14:14">
      <c r="N241" s="105" t="str">
        <f t="shared" si="32"/>
        <v>No</v>
      </c>
    </row>
    <row r="242" spans="14:14">
      <c r="N242" s="105" t="str">
        <f t="shared" si="32"/>
        <v>No</v>
      </c>
    </row>
    <row r="243" spans="14:14">
      <c r="N243" s="105" t="str">
        <f t="shared" si="32"/>
        <v>No</v>
      </c>
    </row>
    <row r="244" spans="14:14">
      <c r="N244" s="105" t="str">
        <f t="shared" si="32"/>
        <v>No</v>
      </c>
    </row>
    <row r="245" spans="14:14">
      <c r="N245" s="105" t="str">
        <f t="shared" si="32"/>
        <v>No</v>
      </c>
    </row>
    <row r="246" spans="14:14">
      <c r="N246" s="105" t="str">
        <f t="shared" si="32"/>
        <v>No</v>
      </c>
    </row>
    <row r="247" spans="14:14">
      <c r="N247" s="105" t="str">
        <f t="shared" si="32"/>
        <v>No</v>
      </c>
    </row>
    <row r="248" spans="14:14">
      <c r="N248" s="105" t="str">
        <f t="shared" si="32"/>
        <v>No</v>
      </c>
    </row>
    <row r="249" spans="14:14">
      <c r="N249" s="105" t="str">
        <f t="shared" si="32"/>
        <v>No</v>
      </c>
    </row>
    <row r="250" spans="14:14">
      <c r="N250" s="105" t="str">
        <f t="shared" si="32"/>
        <v>No</v>
      </c>
    </row>
    <row r="251" spans="14:14">
      <c r="N251" s="105" t="str">
        <f t="shared" si="32"/>
        <v>No</v>
      </c>
    </row>
    <row r="252" spans="14:14">
      <c r="N252" s="105" t="str">
        <f t="shared" si="32"/>
        <v>No</v>
      </c>
    </row>
    <row r="253" spans="14:14">
      <c r="N253" s="105" t="str">
        <f t="shared" si="32"/>
        <v>No</v>
      </c>
    </row>
    <row r="254" spans="14:14">
      <c r="N254" s="105" t="str">
        <f t="shared" si="32"/>
        <v>No</v>
      </c>
    </row>
    <row r="255" spans="14:14">
      <c r="N255" s="105" t="str">
        <f t="shared" si="32"/>
        <v>No</v>
      </c>
    </row>
    <row r="256" spans="14:14">
      <c r="N256" s="105" t="str">
        <f t="shared" si="32"/>
        <v>No</v>
      </c>
    </row>
    <row r="257" spans="14:14">
      <c r="N257" s="105" t="str">
        <f t="shared" si="32"/>
        <v>No</v>
      </c>
    </row>
    <row r="258" spans="14:14">
      <c r="N258" s="105" t="str">
        <f t="shared" si="32"/>
        <v>No</v>
      </c>
    </row>
    <row r="259" spans="14:14">
      <c r="N259" s="105" t="str">
        <f t="shared" si="32"/>
        <v>No</v>
      </c>
    </row>
    <row r="260" spans="14:14">
      <c r="N260" s="105" t="str">
        <f t="shared" si="32"/>
        <v>No</v>
      </c>
    </row>
    <row r="261" spans="14:14">
      <c r="N261" s="105" t="str">
        <f t="shared" si="32"/>
        <v>No</v>
      </c>
    </row>
    <row r="262" spans="14:14">
      <c r="N262" s="105" t="str">
        <f t="shared" si="32"/>
        <v>No</v>
      </c>
    </row>
    <row r="263" spans="14:14">
      <c r="N263" s="105" t="str">
        <f t="shared" si="32"/>
        <v>No</v>
      </c>
    </row>
    <row r="264" spans="14:14">
      <c r="N264" s="105" t="str">
        <f t="shared" si="32"/>
        <v>No</v>
      </c>
    </row>
    <row r="265" spans="14:14">
      <c r="N265" s="105" t="str">
        <f t="shared" si="32"/>
        <v>No</v>
      </c>
    </row>
    <row r="266" spans="14:14">
      <c r="N266" s="105" t="str">
        <f t="shared" si="32"/>
        <v>No</v>
      </c>
    </row>
    <row r="267" spans="14:14">
      <c r="N267" s="105" t="str">
        <f t="shared" si="32"/>
        <v>No</v>
      </c>
    </row>
    <row r="268" spans="14:14">
      <c r="N268" s="105" t="str">
        <f t="shared" si="32"/>
        <v>No</v>
      </c>
    </row>
    <row r="269" spans="14:14">
      <c r="N269" s="105" t="str">
        <f t="shared" si="32"/>
        <v>No</v>
      </c>
    </row>
    <row r="270" spans="14:14">
      <c r="N270" s="105" t="str">
        <f t="shared" si="32"/>
        <v>No</v>
      </c>
    </row>
    <row r="271" spans="14:14">
      <c r="N271" s="105" t="str">
        <f t="shared" si="32"/>
        <v>No</v>
      </c>
    </row>
    <row r="272" spans="14:14">
      <c r="N272" s="105" t="str">
        <f t="shared" si="32"/>
        <v>No</v>
      </c>
    </row>
    <row r="273" spans="14:14">
      <c r="N273" s="105" t="str">
        <f t="shared" ref="N273:N336" si="33">IF(M273&lt;&gt;"",M273,IF(SUM(I273:K273)&lt;&gt;0,"Yes","No"))</f>
        <v>No</v>
      </c>
    </row>
    <row r="274" spans="14:14">
      <c r="N274" s="105" t="str">
        <f t="shared" si="33"/>
        <v>No</v>
      </c>
    </row>
    <row r="275" spans="14:14">
      <c r="N275" s="105" t="str">
        <f t="shared" si="33"/>
        <v>No</v>
      </c>
    </row>
    <row r="276" spans="14:14">
      <c r="N276" s="105" t="str">
        <f t="shared" si="33"/>
        <v>No</v>
      </c>
    </row>
    <row r="277" spans="14:14">
      <c r="N277" s="105" t="str">
        <f t="shared" si="33"/>
        <v>No</v>
      </c>
    </row>
    <row r="278" spans="14:14">
      <c r="N278" s="105" t="str">
        <f t="shared" si="33"/>
        <v>No</v>
      </c>
    </row>
    <row r="279" spans="14:14">
      <c r="N279" s="105" t="str">
        <f t="shared" si="33"/>
        <v>No</v>
      </c>
    </row>
    <row r="280" spans="14:14">
      <c r="N280" s="105" t="str">
        <f t="shared" si="33"/>
        <v>No</v>
      </c>
    </row>
    <row r="281" spans="14:14">
      <c r="N281" s="105" t="str">
        <f t="shared" si="33"/>
        <v>No</v>
      </c>
    </row>
    <row r="282" spans="14:14">
      <c r="N282" s="105" t="str">
        <f t="shared" si="33"/>
        <v>No</v>
      </c>
    </row>
    <row r="283" spans="14:14">
      <c r="N283" s="105" t="str">
        <f t="shared" si="33"/>
        <v>No</v>
      </c>
    </row>
    <row r="284" spans="14:14">
      <c r="N284" s="105" t="str">
        <f t="shared" si="33"/>
        <v>No</v>
      </c>
    </row>
    <row r="285" spans="14:14">
      <c r="N285" s="105" t="str">
        <f t="shared" si="33"/>
        <v>No</v>
      </c>
    </row>
    <row r="286" spans="14:14">
      <c r="N286" s="105" t="str">
        <f t="shared" si="33"/>
        <v>No</v>
      </c>
    </row>
    <row r="287" spans="14:14">
      <c r="N287" s="105" t="str">
        <f t="shared" si="33"/>
        <v>No</v>
      </c>
    </row>
    <row r="288" spans="14:14">
      <c r="N288" s="105" t="str">
        <f t="shared" si="33"/>
        <v>No</v>
      </c>
    </row>
    <row r="289" spans="14:14">
      <c r="N289" s="105" t="str">
        <f t="shared" si="33"/>
        <v>No</v>
      </c>
    </row>
    <row r="290" spans="14:14">
      <c r="N290" s="105" t="str">
        <f t="shared" si="33"/>
        <v>No</v>
      </c>
    </row>
    <row r="291" spans="14:14">
      <c r="N291" s="105" t="str">
        <f t="shared" si="33"/>
        <v>No</v>
      </c>
    </row>
    <row r="292" spans="14:14">
      <c r="N292" s="105" t="str">
        <f t="shared" si="33"/>
        <v>No</v>
      </c>
    </row>
    <row r="293" spans="14:14">
      <c r="N293" s="105" t="str">
        <f t="shared" si="33"/>
        <v>No</v>
      </c>
    </row>
    <row r="294" spans="14:14">
      <c r="N294" s="105" t="str">
        <f t="shared" si="33"/>
        <v>No</v>
      </c>
    </row>
    <row r="295" spans="14:14">
      <c r="N295" s="105" t="str">
        <f t="shared" si="33"/>
        <v>No</v>
      </c>
    </row>
    <row r="296" spans="14:14">
      <c r="N296" s="105" t="str">
        <f t="shared" si="33"/>
        <v>No</v>
      </c>
    </row>
    <row r="297" spans="14:14">
      <c r="N297" s="105" t="str">
        <f t="shared" si="33"/>
        <v>No</v>
      </c>
    </row>
    <row r="298" spans="14:14">
      <c r="N298" s="105" t="str">
        <f t="shared" si="33"/>
        <v>No</v>
      </c>
    </row>
    <row r="299" spans="14:14">
      <c r="N299" s="105" t="str">
        <f t="shared" si="33"/>
        <v>No</v>
      </c>
    </row>
    <row r="300" spans="14:14">
      <c r="N300" s="105" t="str">
        <f t="shared" si="33"/>
        <v>No</v>
      </c>
    </row>
    <row r="301" spans="14:14">
      <c r="N301" s="105" t="str">
        <f t="shared" si="33"/>
        <v>No</v>
      </c>
    </row>
    <row r="302" spans="14:14">
      <c r="N302" s="105" t="str">
        <f t="shared" si="33"/>
        <v>No</v>
      </c>
    </row>
    <row r="303" spans="14:14">
      <c r="N303" s="105" t="str">
        <f t="shared" si="33"/>
        <v>No</v>
      </c>
    </row>
    <row r="304" spans="14:14">
      <c r="N304" s="105" t="str">
        <f t="shared" si="33"/>
        <v>No</v>
      </c>
    </row>
    <row r="305" spans="14:14">
      <c r="N305" s="105" t="str">
        <f t="shared" si="33"/>
        <v>No</v>
      </c>
    </row>
    <row r="306" spans="14:14">
      <c r="N306" s="105" t="str">
        <f t="shared" si="33"/>
        <v>No</v>
      </c>
    </row>
    <row r="307" spans="14:14">
      <c r="N307" s="105" t="str">
        <f t="shared" si="33"/>
        <v>No</v>
      </c>
    </row>
    <row r="308" spans="14:14">
      <c r="N308" s="105" t="str">
        <f t="shared" si="33"/>
        <v>No</v>
      </c>
    </row>
    <row r="309" spans="14:14">
      <c r="N309" s="105" t="str">
        <f t="shared" si="33"/>
        <v>No</v>
      </c>
    </row>
    <row r="310" spans="14:14">
      <c r="N310" s="105" t="str">
        <f t="shared" si="33"/>
        <v>No</v>
      </c>
    </row>
    <row r="311" spans="14:14">
      <c r="N311" s="105" t="str">
        <f t="shared" si="33"/>
        <v>No</v>
      </c>
    </row>
    <row r="312" spans="14:14">
      <c r="N312" s="105" t="str">
        <f t="shared" si="33"/>
        <v>No</v>
      </c>
    </row>
    <row r="313" spans="14:14">
      <c r="N313" s="105" t="str">
        <f t="shared" si="33"/>
        <v>No</v>
      </c>
    </row>
    <row r="314" spans="14:14">
      <c r="N314" s="105" t="str">
        <f t="shared" si="33"/>
        <v>No</v>
      </c>
    </row>
    <row r="315" spans="14:14">
      <c r="N315" s="105" t="str">
        <f t="shared" si="33"/>
        <v>No</v>
      </c>
    </row>
    <row r="316" spans="14:14">
      <c r="N316" s="105" t="str">
        <f t="shared" si="33"/>
        <v>No</v>
      </c>
    </row>
    <row r="317" spans="14:14">
      <c r="N317" s="105" t="str">
        <f t="shared" si="33"/>
        <v>No</v>
      </c>
    </row>
    <row r="318" spans="14:14">
      <c r="N318" s="105" t="str">
        <f t="shared" si="33"/>
        <v>No</v>
      </c>
    </row>
    <row r="319" spans="14:14">
      <c r="N319" s="105" t="str">
        <f t="shared" si="33"/>
        <v>No</v>
      </c>
    </row>
    <row r="320" spans="14:14">
      <c r="N320" s="105" t="str">
        <f t="shared" si="33"/>
        <v>No</v>
      </c>
    </row>
    <row r="321" spans="14:14">
      <c r="N321" s="105" t="str">
        <f t="shared" si="33"/>
        <v>No</v>
      </c>
    </row>
    <row r="322" spans="14:14">
      <c r="N322" s="105" t="str">
        <f t="shared" si="33"/>
        <v>No</v>
      </c>
    </row>
    <row r="323" spans="14:14">
      <c r="N323" s="105" t="str">
        <f t="shared" si="33"/>
        <v>No</v>
      </c>
    </row>
    <row r="324" spans="14:14">
      <c r="N324" s="105" t="str">
        <f t="shared" si="33"/>
        <v>No</v>
      </c>
    </row>
    <row r="325" spans="14:14">
      <c r="N325" s="105" t="str">
        <f t="shared" si="33"/>
        <v>No</v>
      </c>
    </row>
    <row r="326" spans="14:14">
      <c r="N326" s="105" t="str">
        <f t="shared" si="33"/>
        <v>No</v>
      </c>
    </row>
    <row r="327" spans="14:14">
      <c r="N327" s="105" t="str">
        <f t="shared" si="33"/>
        <v>No</v>
      </c>
    </row>
    <row r="328" spans="14:14">
      <c r="N328" s="105" t="str">
        <f t="shared" si="33"/>
        <v>No</v>
      </c>
    </row>
    <row r="329" spans="14:14">
      <c r="N329" s="105" t="str">
        <f t="shared" si="33"/>
        <v>No</v>
      </c>
    </row>
    <row r="330" spans="14:14">
      <c r="N330" s="105" t="str">
        <f t="shared" si="33"/>
        <v>No</v>
      </c>
    </row>
    <row r="331" spans="14:14">
      <c r="N331" s="105" t="str">
        <f t="shared" si="33"/>
        <v>No</v>
      </c>
    </row>
    <row r="332" spans="14:14">
      <c r="N332" s="105" t="str">
        <f t="shared" si="33"/>
        <v>No</v>
      </c>
    </row>
    <row r="333" spans="14:14">
      <c r="N333" s="105" t="str">
        <f t="shared" si="33"/>
        <v>No</v>
      </c>
    </row>
    <row r="334" spans="14:14">
      <c r="N334" s="105" t="str">
        <f t="shared" si="33"/>
        <v>No</v>
      </c>
    </row>
    <row r="335" spans="14:14">
      <c r="N335" s="105" t="str">
        <f t="shared" si="33"/>
        <v>No</v>
      </c>
    </row>
    <row r="336" spans="14:14">
      <c r="N336" s="105" t="str">
        <f t="shared" si="33"/>
        <v>No</v>
      </c>
    </row>
    <row r="337" spans="14:14">
      <c r="N337" s="105" t="str">
        <f t="shared" ref="N337:N400" si="34">IF(M337&lt;&gt;"",M337,IF(SUM(I337:K337)&lt;&gt;0,"Yes","No"))</f>
        <v>No</v>
      </c>
    </row>
    <row r="338" spans="14:14">
      <c r="N338" s="105" t="str">
        <f t="shared" si="34"/>
        <v>No</v>
      </c>
    </row>
    <row r="339" spans="14:14">
      <c r="N339" s="105" t="str">
        <f t="shared" si="34"/>
        <v>No</v>
      </c>
    </row>
    <row r="340" spans="14:14">
      <c r="N340" s="105" t="str">
        <f t="shared" si="34"/>
        <v>No</v>
      </c>
    </row>
    <row r="341" spans="14:14">
      <c r="N341" s="105" t="str">
        <f t="shared" si="34"/>
        <v>No</v>
      </c>
    </row>
    <row r="342" spans="14:14">
      <c r="N342" s="105" t="str">
        <f t="shared" si="34"/>
        <v>No</v>
      </c>
    </row>
    <row r="343" spans="14:14">
      <c r="N343" s="105" t="str">
        <f t="shared" si="34"/>
        <v>No</v>
      </c>
    </row>
    <row r="344" spans="14:14">
      <c r="N344" s="105" t="str">
        <f t="shared" si="34"/>
        <v>No</v>
      </c>
    </row>
    <row r="345" spans="14:14">
      <c r="N345" s="105" t="str">
        <f t="shared" si="34"/>
        <v>No</v>
      </c>
    </row>
    <row r="346" spans="14:14">
      <c r="N346" s="105" t="str">
        <f t="shared" si="34"/>
        <v>No</v>
      </c>
    </row>
    <row r="347" spans="14:14">
      <c r="N347" s="105" t="str">
        <f t="shared" si="34"/>
        <v>No</v>
      </c>
    </row>
    <row r="348" spans="14:14">
      <c r="N348" s="105" t="str">
        <f t="shared" si="34"/>
        <v>No</v>
      </c>
    </row>
    <row r="349" spans="14:14">
      <c r="N349" s="105" t="str">
        <f t="shared" si="34"/>
        <v>No</v>
      </c>
    </row>
    <row r="350" spans="14:14">
      <c r="N350" s="105" t="str">
        <f t="shared" si="34"/>
        <v>No</v>
      </c>
    </row>
    <row r="351" spans="14:14">
      <c r="N351" s="105" t="str">
        <f t="shared" si="34"/>
        <v>No</v>
      </c>
    </row>
    <row r="352" spans="14:14">
      <c r="N352" s="105" t="str">
        <f t="shared" si="34"/>
        <v>No</v>
      </c>
    </row>
    <row r="353" spans="14:14">
      <c r="N353" s="105" t="str">
        <f t="shared" si="34"/>
        <v>No</v>
      </c>
    </row>
    <row r="354" spans="14:14">
      <c r="N354" s="105" t="str">
        <f t="shared" si="34"/>
        <v>No</v>
      </c>
    </row>
    <row r="355" spans="14:14">
      <c r="N355" s="105" t="str">
        <f t="shared" si="34"/>
        <v>No</v>
      </c>
    </row>
    <row r="356" spans="14:14">
      <c r="N356" s="105" t="str">
        <f t="shared" si="34"/>
        <v>No</v>
      </c>
    </row>
    <row r="357" spans="14:14">
      <c r="N357" s="105" t="str">
        <f t="shared" si="34"/>
        <v>No</v>
      </c>
    </row>
    <row r="358" spans="14:14">
      <c r="N358" s="105" t="str">
        <f t="shared" si="34"/>
        <v>No</v>
      </c>
    </row>
    <row r="359" spans="14:14">
      <c r="N359" s="105" t="str">
        <f t="shared" si="34"/>
        <v>No</v>
      </c>
    </row>
    <row r="360" spans="14:14">
      <c r="N360" s="105" t="str">
        <f t="shared" si="34"/>
        <v>No</v>
      </c>
    </row>
    <row r="361" spans="14:14">
      <c r="N361" s="105" t="str">
        <f t="shared" si="34"/>
        <v>No</v>
      </c>
    </row>
    <row r="362" spans="14:14">
      <c r="N362" s="105" t="str">
        <f t="shared" si="34"/>
        <v>No</v>
      </c>
    </row>
    <row r="363" spans="14:14">
      <c r="N363" s="105" t="str">
        <f t="shared" si="34"/>
        <v>No</v>
      </c>
    </row>
    <row r="364" spans="14:14">
      <c r="N364" s="105" t="str">
        <f t="shared" si="34"/>
        <v>No</v>
      </c>
    </row>
    <row r="365" spans="14:14">
      <c r="N365" s="105" t="str">
        <f t="shared" si="34"/>
        <v>No</v>
      </c>
    </row>
    <row r="366" spans="14:14">
      <c r="N366" s="105" t="str">
        <f t="shared" si="34"/>
        <v>No</v>
      </c>
    </row>
    <row r="367" spans="14:14">
      <c r="N367" s="105" t="str">
        <f t="shared" si="34"/>
        <v>No</v>
      </c>
    </row>
    <row r="368" spans="14:14">
      <c r="N368" s="105" t="str">
        <f t="shared" si="34"/>
        <v>No</v>
      </c>
    </row>
    <row r="369" spans="14:14">
      <c r="N369" s="105" t="str">
        <f t="shared" si="34"/>
        <v>No</v>
      </c>
    </row>
    <row r="370" spans="14:14">
      <c r="N370" s="105" t="str">
        <f t="shared" si="34"/>
        <v>No</v>
      </c>
    </row>
    <row r="371" spans="14:14">
      <c r="N371" s="105" t="str">
        <f t="shared" si="34"/>
        <v>No</v>
      </c>
    </row>
    <row r="372" spans="14:14">
      <c r="N372" s="105" t="str">
        <f t="shared" si="34"/>
        <v>No</v>
      </c>
    </row>
    <row r="373" spans="14:14">
      <c r="N373" s="105" t="str">
        <f t="shared" si="34"/>
        <v>No</v>
      </c>
    </row>
    <row r="374" spans="14:14">
      <c r="N374" s="105" t="str">
        <f t="shared" si="34"/>
        <v>No</v>
      </c>
    </row>
    <row r="375" spans="14:14">
      <c r="N375" s="105" t="str">
        <f t="shared" si="34"/>
        <v>No</v>
      </c>
    </row>
    <row r="376" spans="14:14">
      <c r="N376" s="105" t="str">
        <f t="shared" si="34"/>
        <v>No</v>
      </c>
    </row>
    <row r="377" spans="14:14">
      <c r="N377" s="105" t="str">
        <f t="shared" si="34"/>
        <v>No</v>
      </c>
    </row>
    <row r="378" spans="14:14">
      <c r="N378" s="105" t="str">
        <f t="shared" si="34"/>
        <v>No</v>
      </c>
    </row>
    <row r="379" spans="14:14">
      <c r="N379" s="105" t="str">
        <f t="shared" si="34"/>
        <v>No</v>
      </c>
    </row>
    <row r="380" spans="14:14">
      <c r="N380" s="105" t="str">
        <f t="shared" si="34"/>
        <v>No</v>
      </c>
    </row>
    <row r="381" spans="14:14">
      <c r="N381" s="105" t="str">
        <f t="shared" si="34"/>
        <v>No</v>
      </c>
    </row>
    <row r="382" spans="14:14">
      <c r="N382" s="105" t="str">
        <f t="shared" si="34"/>
        <v>No</v>
      </c>
    </row>
    <row r="383" spans="14:14">
      <c r="N383" s="105" t="str">
        <f t="shared" si="34"/>
        <v>No</v>
      </c>
    </row>
    <row r="384" spans="14:14">
      <c r="N384" s="105" t="str">
        <f t="shared" si="34"/>
        <v>No</v>
      </c>
    </row>
    <row r="385" spans="14:14">
      <c r="N385" s="105" t="str">
        <f t="shared" si="34"/>
        <v>No</v>
      </c>
    </row>
    <row r="386" spans="14:14">
      <c r="N386" s="105" t="str">
        <f t="shared" si="34"/>
        <v>No</v>
      </c>
    </row>
    <row r="387" spans="14:14">
      <c r="N387" s="105" t="str">
        <f t="shared" si="34"/>
        <v>No</v>
      </c>
    </row>
    <row r="388" spans="14:14">
      <c r="N388" s="105" t="str">
        <f t="shared" si="34"/>
        <v>No</v>
      </c>
    </row>
    <row r="389" spans="14:14">
      <c r="N389" s="105" t="str">
        <f t="shared" si="34"/>
        <v>No</v>
      </c>
    </row>
    <row r="390" spans="14:14">
      <c r="N390" s="105" t="str">
        <f t="shared" si="34"/>
        <v>No</v>
      </c>
    </row>
    <row r="391" spans="14:14">
      <c r="N391" s="105" t="str">
        <f t="shared" si="34"/>
        <v>No</v>
      </c>
    </row>
    <row r="392" spans="14:14">
      <c r="N392" s="105" t="str">
        <f t="shared" si="34"/>
        <v>No</v>
      </c>
    </row>
    <row r="393" spans="14:14">
      <c r="N393" s="105" t="str">
        <f t="shared" si="34"/>
        <v>No</v>
      </c>
    </row>
    <row r="394" spans="14:14">
      <c r="N394" s="105" t="str">
        <f t="shared" si="34"/>
        <v>No</v>
      </c>
    </row>
    <row r="395" spans="14:14">
      <c r="N395" s="105" t="str">
        <f t="shared" si="34"/>
        <v>No</v>
      </c>
    </row>
    <row r="396" spans="14:14">
      <c r="N396" s="105" t="str">
        <f t="shared" si="34"/>
        <v>No</v>
      </c>
    </row>
    <row r="397" spans="14:14">
      <c r="N397" s="105" t="str">
        <f t="shared" si="34"/>
        <v>No</v>
      </c>
    </row>
    <row r="398" spans="14:14">
      <c r="N398" s="105" t="str">
        <f t="shared" si="34"/>
        <v>No</v>
      </c>
    </row>
    <row r="399" spans="14:14">
      <c r="N399" s="105" t="str">
        <f t="shared" si="34"/>
        <v>No</v>
      </c>
    </row>
    <row r="400" spans="14:14">
      <c r="N400" s="105" t="str">
        <f t="shared" si="34"/>
        <v>No</v>
      </c>
    </row>
    <row r="401" spans="14:14">
      <c r="N401" s="105" t="str">
        <f t="shared" ref="N401:N464" si="35">IF(M401&lt;&gt;"",M401,IF(SUM(I401:K401)&lt;&gt;0,"Yes","No"))</f>
        <v>No</v>
      </c>
    </row>
    <row r="402" spans="14:14">
      <c r="N402" s="105" t="str">
        <f t="shared" si="35"/>
        <v>No</v>
      </c>
    </row>
    <row r="403" spans="14:14">
      <c r="N403" s="105" t="str">
        <f t="shared" si="35"/>
        <v>No</v>
      </c>
    </row>
    <row r="404" spans="14:14">
      <c r="N404" s="105" t="str">
        <f t="shared" si="35"/>
        <v>No</v>
      </c>
    </row>
    <row r="405" spans="14:14">
      <c r="N405" s="105" t="str">
        <f t="shared" si="35"/>
        <v>No</v>
      </c>
    </row>
    <row r="406" spans="14:14">
      <c r="N406" s="105" t="str">
        <f t="shared" si="35"/>
        <v>No</v>
      </c>
    </row>
    <row r="407" spans="14:14">
      <c r="N407" s="105" t="str">
        <f t="shared" si="35"/>
        <v>No</v>
      </c>
    </row>
    <row r="408" spans="14:14">
      <c r="N408" s="105" t="str">
        <f t="shared" si="35"/>
        <v>No</v>
      </c>
    </row>
    <row r="409" spans="14:14">
      <c r="N409" s="105" t="str">
        <f t="shared" si="35"/>
        <v>No</v>
      </c>
    </row>
    <row r="410" spans="14:14">
      <c r="N410" s="105" t="str">
        <f t="shared" si="35"/>
        <v>No</v>
      </c>
    </row>
    <row r="411" spans="14:14">
      <c r="N411" s="105" t="str">
        <f t="shared" si="35"/>
        <v>No</v>
      </c>
    </row>
    <row r="412" spans="14:14">
      <c r="N412" s="105" t="str">
        <f t="shared" si="35"/>
        <v>No</v>
      </c>
    </row>
    <row r="413" spans="14:14">
      <c r="N413" s="105" t="str">
        <f t="shared" si="35"/>
        <v>No</v>
      </c>
    </row>
    <row r="414" spans="14:14">
      <c r="N414" s="105" t="str">
        <f t="shared" si="35"/>
        <v>No</v>
      </c>
    </row>
    <row r="415" spans="14:14">
      <c r="N415" s="105" t="str">
        <f t="shared" si="35"/>
        <v>No</v>
      </c>
    </row>
    <row r="416" spans="14:14">
      <c r="N416" s="105" t="str">
        <f t="shared" si="35"/>
        <v>No</v>
      </c>
    </row>
    <row r="417" spans="14:14">
      <c r="N417" s="105" t="str">
        <f t="shared" si="35"/>
        <v>No</v>
      </c>
    </row>
    <row r="418" spans="14:14">
      <c r="N418" s="105" t="str">
        <f t="shared" si="35"/>
        <v>No</v>
      </c>
    </row>
    <row r="419" spans="14:14">
      <c r="N419" s="105" t="str">
        <f t="shared" si="35"/>
        <v>No</v>
      </c>
    </row>
    <row r="420" spans="14:14">
      <c r="N420" s="105" t="str">
        <f t="shared" si="35"/>
        <v>No</v>
      </c>
    </row>
    <row r="421" spans="14:14">
      <c r="N421" s="105" t="str">
        <f t="shared" si="35"/>
        <v>No</v>
      </c>
    </row>
    <row r="422" spans="14:14">
      <c r="N422" s="105" t="str">
        <f t="shared" si="35"/>
        <v>No</v>
      </c>
    </row>
    <row r="423" spans="14:14">
      <c r="N423" s="105" t="str">
        <f t="shared" si="35"/>
        <v>No</v>
      </c>
    </row>
    <row r="424" spans="14:14">
      <c r="N424" s="105" t="str">
        <f t="shared" si="35"/>
        <v>No</v>
      </c>
    </row>
    <row r="425" spans="14:14">
      <c r="N425" s="105" t="str">
        <f t="shared" si="35"/>
        <v>No</v>
      </c>
    </row>
    <row r="426" spans="14:14">
      <c r="N426" s="105" t="str">
        <f t="shared" si="35"/>
        <v>No</v>
      </c>
    </row>
    <row r="427" spans="14:14">
      <c r="N427" s="105" t="str">
        <f t="shared" si="35"/>
        <v>No</v>
      </c>
    </row>
    <row r="428" spans="14:14">
      <c r="N428" s="105" t="str">
        <f t="shared" si="35"/>
        <v>No</v>
      </c>
    </row>
    <row r="429" spans="14:14">
      <c r="N429" s="105" t="str">
        <f t="shared" si="35"/>
        <v>No</v>
      </c>
    </row>
    <row r="430" spans="14:14">
      <c r="N430" s="105" t="str">
        <f t="shared" si="35"/>
        <v>No</v>
      </c>
    </row>
    <row r="431" spans="14:14">
      <c r="N431" s="105" t="str">
        <f t="shared" si="35"/>
        <v>No</v>
      </c>
    </row>
    <row r="432" spans="14:14">
      <c r="N432" s="105" t="str">
        <f t="shared" si="35"/>
        <v>No</v>
      </c>
    </row>
    <row r="433" spans="14:14">
      <c r="N433" s="105" t="str">
        <f t="shared" si="35"/>
        <v>No</v>
      </c>
    </row>
    <row r="434" spans="14:14">
      <c r="N434" s="105" t="str">
        <f t="shared" si="35"/>
        <v>No</v>
      </c>
    </row>
    <row r="435" spans="14:14">
      <c r="N435" s="105" t="str">
        <f t="shared" si="35"/>
        <v>No</v>
      </c>
    </row>
    <row r="436" spans="14:14">
      <c r="N436" s="105" t="str">
        <f t="shared" si="35"/>
        <v>No</v>
      </c>
    </row>
    <row r="437" spans="14:14">
      <c r="N437" s="105" t="str">
        <f t="shared" si="35"/>
        <v>No</v>
      </c>
    </row>
    <row r="438" spans="14:14">
      <c r="N438" s="105" t="str">
        <f t="shared" si="35"/>
        <v>No</v>
      </c>
    </row>
    <row r="439" spans="14:14">
      <c r="N439" s="105" t="str">
        <f t="shared" si="35"/>
        <v>No</v>
      </c>
    </row>
    <row r="440" spans="14:14">
      <c r="N440" s="105" t="str">
        <f t="shared" si="35"/>
        <v>No</v>
      </c>
    </row>
    <row r="441" spans="14:14">
      <c r="N441" s="105" t="str">
        <f t="shared" si="35"/>
        <v>No</v>
      </c>
    </row>
    <row r="442" spans="14:14">
      <c r="N442" s="105" t="str">
        <f t="shared" si="35"/>
        <v>No</v>
      </c>
    </row>
    <row r="443" spans="14:14">
      <c r="N443" s="105" t="str">
        <f t="shared" si="35"/>
        <v>No</v>
      </c>
    </row>
    <row r="444" spans="14:14">
      <c r="N444" s="105" t="str">
        <f t="shared" si="35"/>
        <v>No</v>
      </c>
    </row>
    <row r="445" spans="14:14">
      <c r="N445" s="105" t="str">
        <f t="shared" si="35"/>
        <v>No</v>
      </c>
    </row>
    <row r="446" spans="14:14">
      <c r="N446" s="105" t="str">
        <f t="shared" si="35"/>
        <v>No</v>
      </c>
    </row>
    <row r="447" spans="14:14">
      <c r="N447" s="105" t="str">
        <f t="shared" si="35"/>
        <v>No</v>
      </c>
    </row>
    <row r="448" spans="14:14">
      <c r="N448" s="105" t="str">
        <f t="shared" si="35"/>
        <v>No</v>
      </c>
    </row>
    <row r="449" spans="14:14">
      <c r="N449" s="105" t="str">
        <f t="shared" si="35"/>
        <v>No</v>
      </c>
    </row>
    <row r="450" spans="14:14">
      <c r="N450" s="105" t="str">
        <f t="shared" si="35"/>
        <v>No</v>
      </c>
    </row>
    <row r="451" spans="14:14">
      <c r="N451" s="105" t="str">
        <f t="shared" si="35"/>
        <v>No</v>
      </c>
    </row>
    <row r="452" spans="14:14">
      <c r="N452" s="105" t="str">
        <f t="shared" si="35"/>
        <v>No</v>
      </c>
    </row>
    <row r="453" spans="14:14">
      <c r="N453" s="105" t="str">
        <f t="shared" si="35"/>
        <v>No</v>
      </c>
    </row>
    <row r="454" spans="14:14">
      <c r="N454" s="105" t="str">
        <f t="shared" si="35"/>
        <v>No</v>
      </c>
    </row>
    <row r="455" spans="14:14">
      <c r="N455" s="105" t="str">
        <f t="shared" si="35"/>
        <v>No</v>
      </c>
    </row>
    <row r="456" spans="14:14">
      <c r="N456" s="105" t="str">
        <f t="shared" si="35"/>
        <v>No</v>
      </c>
    </row>
    <row r="457" spans="14:14">
      <c r="N457" s="105" t="str">
        <f t="shared" si="35"/>
        <v>No</v>
      </c>
    </row>
    <row r="458" spans="14:14">
      <c r="N458" s="105" t="str">
        <f t="shared" si="35"/>
        <v>No</v>
      </c>
    </row>
    <row r="459" spans="14:14">
      <c r="N459" s="105" t="str">
        <f t="shared" si="35"/>
        <v>No</v>
      </c>
    </row>
    <row r="460" spans="14:14">
      <c r="N460" s="105" t="str">
        <f t="shared" si="35"/>
        <v>No</v>
      </c>
    </row>
    <row r="461" spans="14:14">
      <c r="N461" s="105" t="str">
        <f t="shared" si="35"/>
        <v>No</v>
      </c>
    </row>
    <row r="462" spans="14:14">
      <c r="N462" s="105" t="str">
        <f t="shared" si="35"/>
        <v>No</v>
      </c>
    </row>
    <row r="463" spans="14:14">
      <c r="N463" s="105" t="str">
        <f t="shared" si="35"/>
        <v>No</v>
      </c>
    </row>
    <row r="464" spans="14:14">
      <c r="N464" s="105" t="str">
        <f t="shared" si="35"/>
        <v>No</v>
      </c>
    </row>
    <row r="465" spans="14:14">
      <c r="N465" s="105" t="str">
        <f t="shared" ref="N465:N515" si="36">IF(M465&lt;&gt;"",M465,IF(SUM(I465:K465)&lt;&gt;0,"Yes","No"))</f>
        <v>No</v>
      </c>
    </row>
    <row r="466" spans="14:14">
      <c r="N466" s="105" t="str">
        <f t="shared" si="36"/>
        <v>No</v>
      </c>
    </row>
    <row r="467" spans="14:14">
      <c r="N467" s="105" t="str">
        <f t="shared" si="36"/>
        <v>No</v>
      </c>
    </row>
    <row r="468" spans="14:14">
      <c r="N468" s="105" t="str">
        <f t="shared" si="36"/>
        <v>No</v>
      </c>
    </row>
    <row r="469" spans="14:14">
      <c r="N469" s="105" t="str">
        <f t="shared" si="36"/>
        <v>No</v>
      </c>
    </row>
    <row r="470" spans="14:14">
      <c r="N470" s="105" t="str">
        <f t="shared" si="36"/>
        <v>No</v>
      </c>
    </row>
    <row r="471" spans="14:14">
      <c r="N471" s="105" t="str">
        <f t="shared" si="36"/>
        <v>No</v>
      </c>
    </row>
    <row r="472" spans="14:14">
      <c r="N472" s="105" t="str">
        <f t="shared" si="36"/>
        <v>No</v>
      </c>
    </row>
    <row r="473" spans="14:14">
      <c r="N473" s="105" t="str">
        <f t="shared" si="36"/>
        <v>No</v>
      </c>
    </row>
    <row r="474" spans="14:14">
      <c r="N474" s="105" t="str">
        <f t="shared" si="36"/>
        <v>No</v>
      </c>
    </row>
    <row r="475" spans="14:14">
      <c r="N475" s="105" t="str">
        <f t="shared" si="36"/>
        <v>No</v>
      </c>
    </row>
    <row r="476" spans="14:14">
      <c r="N476" s="105" t="str">
        <f t="shared" si="36"/>
        <v>No</v>
      </c>
    </row>
    <row r="477" spans="14:14">
      <c r="N477" s="105" t="str">
        <f t="shared" si="36"/>
        <v>No</v>
      </c>
    </row>
    <row r="478" spans="14:14">
      <c r="N478" s="105" t="str">
        <f t="shared" si="36"/>
        <v>No</v>
      </c>
    </row>
    <row r="479" spans="14:14">
      <c r="N479" s="105" t="str">
        <f t="shared" si="36"/>
        <v>No</v>
      </c>
    </row>
    <row r="480" spans="14:14">
      <c r="N480" s="105" t="str">
        <f t="shared" si="36"/>
        <v>No</v>
      </c>
    </row>
    <row r="481" spans="14:14">
      <c r="N481" s="105" t="str">
        <f t="shared" si="36"/>
        <v>No</v>
      </c>
    </row>
    <row r="482" spans="14:14">
      <c r="N482" s="105" t="str">
        <f t="shared" si="36"/>
        <v>No</v>
      </c>
    </row>
    <row r="483" spans="14:14">
      <c r="N483" s="105" t="str">
        <f t="shared" si="36"/>
        <v>No</v>
      </c>
    </row>
    <row r="484" spans="14:14">
      <c r="N484" s="105" t="str">
        <f t="shared" si="36"/>
        <v>No</v>
      </c>
    </row>
    <row r="485" spans="14:14">
      <c r="N485" s="105" t="str">
        <f t="shared" si="36"/>
        <v>No</v>
      </c>
    </row>
    <row r="486" spans="14:14">
      <c r="N486" s="105" t="str">
        <f t="shared" si="36"/>
        <v>No</v>
      </c>
    </row>
    <row r="487" spans="14:14">
      <c r="N487" s="105" t="str">
        <f t="shared" si="36"/>
        <v>No</v>
      </c>
    </row>
    <row r="488" spans="14:14">
      <c r="N488" s="105" t="str">
        <f t="shared" si="36"/>
        <v>No</v>
      </c>
    </row>
    <row r="489" spans="14:14">
      <c r="N489" s="105" t="str">
        <f t="shared" si="36"/>
        <v>No</v>
      </c>
    </row>
    <row r="490" spans="14:14">
      <c r="N490" s="105" t="str">
        <f t="shared" si="36"/>
        <v>No</v>
      </c>
    </row>
    <row r="491" spans="14:14">
      <c r="N491" s="105" t="str">
        <f t="shared" si="36"/>
        <v>No</v>
      </c>
    </row>
    <row r="492" spans="14:14">
      <c r="N492" s="105" t="str">
        <f t="shared" si="36"/>
        <v>No</v>
      </c>
    </row>
    <row r="493" spans="14:14">
      <c r="N493" s="105" t="str">
        <f t="shared" si="36"/>
        <v>No</v>
      </c>
    </row>
    <row r="494" spans="14:14">
      <c r="N494" s="105" t="str">
        <f t="shared" si="36"/>
        <v>No</v>
      </c>
    </row>
    <row r="495" spans="14:14">
      <c r="N495" s="105" t="str">
        <f t="shared" si="36"/>
        <v>No</v>
      </c>
    </row>
    <row r="496" spans="14:14">
      <c r="N496" s="105" t="str">
        <f t="shared" si="36"/>
        <v>No</v>
      </c>
    </row>
    <row r="497" spans="14:14">
      <c r="N497" s="105" t="str">
        <f t="shared" si="36"/>
        <v>No</v>
      </c>
    </row>
    <row r="498" spans="14:14">
      <c r="N498" s="105" t="str">
        <f t="shared" si="36"/>
        <v>No</v>
      </c>
    </row>
    <row r="499" spans="14:14">
      <c r="N499" s="105" t="str">
        <f t="shared" si="36"/>
        <v>No</v>
      </c>
    </row>
    <row r="500" spans="14:14">
      <c r="N500" s="105" t="str">
        <f t="shared" si="36"/>
        <v>No</v>
      </c>
    </row>
    <row r="501" spans="14:14">
      <c r="N501" s="105" t="str">
        <f t="shared" si="36"/>
        <v>No</v>
      </c>
    </row>
    <row r="502" spans="14:14">
      <c r="N502" s="105" t="str">
        <f t="shared" si="36"/>
        <v>No</v>
      </c>
    </row>
    <row r="503" spans="14:14">
      <c r="N503" s="105" t="str">
        <f t="shared" si="36"/>
        <v>No</v>
      </c>
    </row>
    <row r="504" spans="14:14">
      <c r="N504" s="105" t="str">
        <f t="shared" si="36"/>
        <v>No</v>
      </c>
    </row>
    <row r="505" spans="14:14">
      <c r="N505" s="105" t="str">
        <f t="shared" si="36"/>
        <v>No</v>
      </c>
    </row>
    <row r="506" spans="14:14">
      <c r="N506" s="105" t="str">
        <f t="shared" si="36"/>
        <v>No</v>
      </c>
    </row>
    <row r="507" spans="14:14">
      <c r="N507" s="105" t="str">
        <f t="shared" si="36"/>
        <v>No</v>
      </c>
    </row>
    <row r="508" spans="14:14">
      <c r="N508" s="105" t="str">
        <f t="shared" si="36"/>
        <v>No</v>
      </c>
    </row>
    <row r="509" spans="14:14">
      <c r="N509" s="105" t="str">
        <f t="shared" si="36"/>
        <v>No</v>
      </c>
    </row>
    <row r="510" spans="14:14">
      <c r="N510" s="105" t="str">
        <f t="shared" si="36"/>
        <v>No</v>
      </c>
    </row>
    <row r="511" spans="14:14">
      <c r="N511" s="105" t="str">
        <f t="shared" si="36"/>
        <v>No</v>
      </c>
    </row>
    <row r="512" spans="14:14">
      <c r="N512" s="105" t="str">
        <f t="shared" si="36"/>
        <v>No</v>
      </c>
    </row>
    <row r="513" spans="14:14">
      <c r="N513" s="105" t="str">
        <f t="shared" si="36"/>
        <v>No</v>
      </c>
    </row>
    <row r="514" spans="14:14">
      <c r="N514" s="105" t="str">
        <f t="shared" si="36"/>
        <v>No</v>
      </c>
    </row>
    <row r="515" spans="14:14">
      <c r="N515" s="105" t="str">
        <f t="shared" si="36"/>
        <v>No</v>
      </c>
    </row>
    <row r="516" spans="14:14">
      <c r="N516" s="105" t="str">
        <f t="shared" ref="N516:N517" si="37">IF(M516&lt;&gt;"",M516,IF(SUM(I516:K516)&lt;&gt;0,"Yes","No"))</f>
        <v>No</v>
      </c>
    </row>
    <row r="517" spans="14:14">
      <c r="N517" s="105" t="str">
        <f t="shared" si="37"/>
        <v>No</v>
      </c>
    </row>
    <row r="518" spans="14:14">
      <c r="N518" s="105" t="str">
        <f t="shared" ref="N518:N544" si="38">IF(M518&lt;&gt;"",M518,IF(SUM(I518:K518)&lt;&gt;0,"Yes","No"))</f>
        <v>No</v>
      </c>
    </row>
    <row r="519" spans="14:14">
      <c r="N519" s="105" t="str">
        <f t="shared" si="38"/>
        <v>No</v>
      </c>
    </row>
    <row r="520" spans="14:14">
      <c r="N520" s="105" t="str">
        <f t="shared" si="38"/>
        <v>No</v>
      </c>
    </row>
    <row r="521" spans="14:14">
      <c r="N521" s="105" t="str">
        <f t="shared" si="38"/>
        <v>No</v>
      </c>
    </row>
    <row r="522" spans="14:14">
      <c r="N522" s="105" t="str">
        <f t="shared" si="38"/>
        <v>No</v>
      </c>
    </row>
    <row r="523" spans="14:14">
      <c r="N523" s="105" t="str">
        <f t="shared" si="38"/>
        <v>No</v>
      </c>
    </row>
    <row r="524" spans="14:14">
      <c r="N524" s="105" t="str">
        <f t="shared" si="38"/>
        <v>No</v>
      </c>
    </row>
    <row r="525" spans="14:14">
      <c r="N525" s="105" t="str">
        <f t="shared" si="38"/>
        <v>No</v>
      </c>
    </row>
    <row r="526" spans="14:14">
      <c r="N526" s="105" t="str">
        <f t="shared" si="38"/>
        <v>No</v>
      </c>
    </row>
    <row r="527" spans="14:14">
      <c r="N527" s="105" t="str">
        <f t="shared" si="38"/>
        <v>No</v>
      </c>
    </row>
    <row r="528" spans="14:14">
      <c r="N528" s="105" t="str">
        <f t="shared" si="38"/>
        <v>No</v>
      </c>
    </row>
    <row r="529" spans="14:14">
      <c r="N529" s="105" t="str">
        <f t="shared" si="38"/>
        <v>No</v>
      </c>
    </row>
    <row r="530" spans="14:14">
      <c r="N530" s="105" t="str">
        <f t="shared" si="38"/>
        <v>No</v>
      </c>
    </row>
    <row r="531" spans="14:14">
      <c r="N531" s="105" t="str">
        <f t="shared" si="38"/>
        <v>No</v>
      </c>
    </row>
    <row r="532" spans="14:14">
      <c r="N532" s="105" t="str">
        <f t="shared" si="38"/>
        <v>No</v>
      </c>
    </row>
    <row r="533" spans="14:14">
      <c r="N533" s="105" t="str">
        <f t="shared" si="38"/>
        <v>No</v>
      </c>
    </row>
    <row r="534" spans="14:14">
      <c r="N534" s="105" t="str">
        <f t="shared" si="38"/>
        <v>No</v>
      </c>
    </row>
    <row r="535" spans="14:14">
      <c r="N535" s="105" t="str">
        <f t="shared" si="38"/>
        <v>No</v>
      </c>
    </row>
    <row r="536" spans="14:14">
      <c r="N536" s="105" t="str">
        <f t="shared" si="38"/>
        <v>No</v>
      </c>
    </row>
    <row r="537" spans="14:14">
      <c r="N537" s="105" t="str">
        <f t="shared" si="38"/>
        <v>No</v>
      </c>
    </row>
    <row r="538" spans="14:14">
      <c r="N538" s="105" t="str">
        <f t="shared" si="38"/>
        <v>No</v>
      </c>
    </row>
    <row r="539" spans="14:14">
      <c r="N539" s="105" t="str">
        <f t="shared" si="38"/>
        <v>No</v>
      </c>
    </row>
    <row r="540" spans="14:14">
      <c r="N540" s="105" t="str">
        <f t="shared" si="38"/>
        <v>No</v>
      </c>
    </row>
    <row r="541" spans="14:14">
      <c r="N541" s="105" t="str">
        <f t="shared" si="38"/>
        <v>No</v>
      </c>
    </row>
    <row r="542" spans="14:14">
      <c r="N542" s="105" t="str">
        <f t="shared" si="38"/>
        <v>No</v>
      </c>
    </row>
    <row r="543" spans="14:14">
      <c r="N543" s="105" t="str">
        <f t="shared" si="38"/>
        <v>No</v>
      </c>
    </row>
    <row r="544" spans="14:14">
      <c r="N544" s="105" t="str">
        <f t="shared" si="38"/>
        <v>No</v>
      </c>
    </row>
    <row r="545" spans="14:14">
      <c r="N545" s="105" t="str">
        <f t="shared" ref="N545:N551" si="39">IF(M545&lt;&gt;"",M545,IF(SUM(I545:K545)&lt;&gt;0,"Yes","No"))</f>
        <v>No</v>
      </c>
    </row>
    <row r="546" spans="14:14">
      <c r="N546" s="105" t="str">
        <f t="shared" si="39"/>
        <v>No</v>
      </c>
    </row>
    <row r="547" spans="14:14">
      <c r="N547" s="105" t="str">
        <f t="shared" si="39"/>
        <v>No</v>
      </c>
    </row>
    <row r="548" spans="14:14">
      <c r="N548" s="105" t="str">
        <f t="shared" si="39"/>
        <v>No</v>
      </c>
    </row>
    <row r="549" spans="14:14">
      <c r="N549" s="105" t="str">
        <f t="shared" si="39"/>
        <v>No</v>
      </c>
    </row>
    <row r="550" spans="14:14">
      <c r="N550" s="105" t="str">
        <f t="shared" si="39"/>
        <v>No</v>
      </c>
    </row>
    <row r="551" spans="14:14">
      <c r="N551" s="105" t="str">
        <f t="shared" si="39"/>
        <v>No</v>
      </c>
    </row>
    <row r="552" spans="14:14">
      <c r="N552" s="105" t="str">
        <f t="shared" ref="N552:N559" si="40">IF(M552&lt;&gt;"",M552,IF(SUM(I552:K552)&lt;&gt;0,"Yes","No"))</f>
        <v>No</v>
      </c>
    </row>
    <row r="553" spans="14:14">
      <c r="N553" s="105" t="str">
        <f t="shared" si="40"/>
        <v>No</v>
      </c>
    </row>
    <row r="554" spans="14:14">
      <c r="N554" s="105" t="str">
        <f t="shared" si="40"/>
        <v>No</v>
      </c>
    </row>
    <row r="555" spans="14:14">
      <c r="N555" s="105" t="str">
        <f t="shared" si="40"/>
        <v>No</v>
      </c>
    </row>
    <row r="556" spans="14:14">
      <c r="N556" s="105" t="str">
        <f t="shared" si="40"/>
        <v>No</v>
      </c>
    </row>
    <row r="557" spans="14:14">
      <c r="N557" s="105" t="str">
        <f t="shared" si="40"/>
        <v>No</v>
      </c>
    </row>
    <row r="558" spans="14:14">
      <c r="N558" s="105" t="str">
        <f t="shared" si="40"/>
        <v>No</v>
      </c>
    </row>
    <row r="559" spans="14:14">
      <c r="N559" s="105" t="str">
        <f t="shared" si="40"/>
        <v>No</v>
      </c>
    </row>
  </sheetData>
  <sheetProtection algorithmName="SHA-512" hashValue="oGu8faO8iSDVTTsqZfun5msddujLb4DyJUtWrjToqNRa3Dn29TJN7bivcCKlnwZUCYwuswwpDt4Ub2kNg260Uw==" saltValue="xXhiPeW+GDa+uF4PXFwxDQ==" spinCount="100000" sheet="1" formatCells="0" formatColumns="0" formatRows="0" autoFilter="0"/>
  <autoFilter ref="N1:N559" xr:uid="{00000000-0009-0000-0000-000002000000}"/>
  <mergeCells count="9">
    <mergeCell ref="D1:K1"/>
    <mergeCell ref="D2:K2"/>
    <mergeCell ref="D3:K3"/>
    <mergeCell ref="I5:K5"/>
    <mergeCell ref="D5:D6"/>
    <mergeCell ref="E5:E6"/>
    <mergeCell ref="F5:F6"/>
    <mergeCell ref="G5:G6"/>
    <mergeCell ref="H5:H6"/>
  </mergeCells>
  <conditionalFormatting sqref="M1">
    <cfRule type="cellIs" dxfId="3" priority="1" operator="equal">
      <formula>"Hide"</formula>
    </cfRule>
  </conditionalFormatting>
  <conditionalFormatting sqref="N1">
    <cfRule type="cellIs" dxfId="2" priority="2" operator="equal">
      <formula>"Hide"</formula>
    </cfRule>
  </conditionalFormatting>
  <dataValidations count="1">
    <dataValidation type="list" allowBlank="1" showInputMessage="1" showErrorMessage="1" sqref="N1" xr:uid="{00000000-0002-0000-0200-000000000000}">
      <formula1>"Hide,Unhide"</formula1>
    </dataValidation>
  </dataValidations>
  <printOptions horizontalCentered="1"/>
  <pageMargins left="0.3" right="0" top="0.3" bottom="0" header="0.3" footer="0.3"/>
  <pageSetup paperSize="9" scale="63" orientation="portrait" r:id="rId1"/>
  <rowBreaks count="1" manualBreakCount="1">
    <brk id="152" min="3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Pict="0" macro="[0]!FilterYes">
                <anchor moveWithCells="1" sizeWithCells="1">
                  <from>
                    <xdr:col>11</xdr:col>
                    <xdr:colOff>676275</xdr:colOff>
                    <xdr:row>0</xdr:row>
                    <xdr:rowOff>123825</xdr:rowOff>
                  </from>
                  <to>
                    <xdr:col>11</xdr:col>
                    <xdr:colOff>1552575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5" tint="-0.249977111117893"/>
  </sheetPr>
  <dimension ref="A1:D59"/>
  <sheetViews>
    <sheetView view="pageBreakPreview" zoomScale="90" zoomScaleNormal="90" zoomScaleSheetLayoutView="90" workbookViewId="0">
      <selection activeCell="D11" sqref="D11"/>
    </sheetView>
  </sheetViews>
  <sheetFormatPr defaultColWidth="9" defaultRowHeight="21.75"/>
  <cols>
    <col min="1" max="1" width="5.7109375" style="284" customWidth="1"/>
    <col min="2" max="2" width="39" style="284" customWidth="1"/>
    <col min="3" max="3" width="24" style="285" customWidth="1"/>
    <col min="4" max="4" width="40.7109375" style="303" customWidth="1"/>
    <col min="5" max="16384" width="9" style="284"/>
  </cols>
  <sheetData>
    <row r="1" spans="1:4" ht="23.25" customHeight="1">
      <c r="A1" s="469" t="s">
        <v>167</v>
      </c>
      <c r="B1" s="469"/>
      <c r="C1" s="469"/>
      <c r="D1" s="469"/>
    </row>
    <row r="2" spans="1:4" ht="23.25" customHeight="1">
      <c r="A2" s="469" t="s">
        <v>258</v>
      </c>
      <c r="B2" s="469"/>
      <c r="C2" s="469"/>
      <c r="D2" s="469"/>
    </row>
    <row r="3" spans="1:4" ht="23.25" customHeight="1">
      <c r="A3" s="469" t="s">
        <v>240</v>
      </c>
      <c r="B3" s="469"/>
      <c r="C3" s="469"/>
      <c r="D3" s="469"/>
    </row>
    <row r="4" spans="1:4" ht="23.25" customHeight="1">
      <c r="A4" s="469" t="s">
        <v>317</v>
      </c>
      <c r="B4" s="469"/>
      <c r="C4" s="469"/>
      <c r="D4" s="469"/>
    </row>
    <row r="5" spans="1:4">
      <c r="D5" s="286" t="s">
        <v>261</v>
      </c>
    </row>
    <row r="6" spans="1:4" ht="44.25" customHeight="1">
      <c r="A6" s="470" t="s">
        <v>46</v>
      </c>
      <c r="B6" s="470"/>
      <c r="C6" s="288" t="s">
        <v>92</v>
      </c>
      <c r="D6" s="287" t="s">
        <v>168</v>
      </c>
    </row>
    <row r="7" spans="1:4" ht="21" customHeight="1">
      <c r="A7" s="289" t="s">
        <v>169</v>
      </c>
      <c r="B7" s="290"/>
      <c r="C7" s="291">
        <f>C22</f>
        <v>272538.90000000002</v>
      </c>
      <c r="D7" s="292"/>
    </row>
    <row r="8" spans="1:4" ht="21" customHeight="1">
      <c r="A8" s="293" t="s">
        <v>170</v>
      </c>
      <c r="B8" s="294"/>
      <c r="C8" s="295"/>
      <c r="D8" s="296"/>
    </row>
    <row r="9" spans="1:4" ht="21" customHeight="1">
      <c r="A9" s="297"/>
      <c r="B9" s="294"/>
      <c r="C9" s="295"/>
      <c r="D9" s="296"/>
    </row>
    <row r="10" spans="1:4" ht="21" customHeight="1">
      <c r="A10" s="297"/>
      <c r="B10" s="294"/>
      <c r="C10" s="295"/>
      <c r="D10" s="296"/>
    </row>
    <row r="11" spans="1:4" ht="21" customHeight="1">
      <c r="A11" s="297"/>
      <c r="B11" s="294"/>
      <c r="C11" s="295"/>
      <c r="D11" s="296"/>
    </row>
    <row r="12" spans="1:4" ht="21" customHeight="1">
      <c r="A12" s="297"/>
      <c r="B12" s="294"/>
      <c r="C12" s="295"/>
      <c r="D12" s="296"/>
    </row>
    <row r="13" spans="1:4" ht="21" customHeight="1">
      <c r="A13" s="297"/>
      <c r="B13" s="294"/>
      <c r="C13" s="295"/>
      <c r="D13" s="296"/>
    </row>
    <row r="14" spans="1:4" ht="21" customHeight="1">
      <c r="A14" s="293" t="s">
        <v>171</v>
      </c>
      <c r="B14" s="294"/>
      <c r="C14" s="295"/>
      <c r="D14" s="296"/>
    </row>
    <row r="15" spans="1:4" ht="21" customHeight="1">
      <c r="A15" s="297"/>
      <c r="B15" s="294" t="s">
        <v>172</v>
      </c>
      <c r="C15" s="295"/>
      <c r="D15" s="296"/>
    </row>
    <row r="16" spans="1:4" ht="21" customHeight="1">
      <c r="A16" s="297"/>
      <c r="B16" s="294" t="s">
        <v>173</v>
      </c>
      <c r="C16" s="295"/>
      <c r="D16" s="296"/>
    </row>
    <row r="17" spans="1:4" ht="21" customHeight="1">
      <c r="A17" s="297"/>
      <c r="B17" s="294" t="s">
        <v>173</v>
      </c>
      <c r="C17" s="295"/>
      <c r="D17" s="296"/>
    </row>
    <row r="18" spans="1:4" ht="21" customHeight="1">
      <c r="A18" s="297"/>
      <c r="B18" s="294" t="s">
        <v>173</v>
      </c>
      <c r="C18" s="295"/>
      <c r="D18" s="296"/>
    </row>
    <row r="19" spans="1:4" ht="21" customHeight="1">
      <c r="A19" s="297"/>
      <c r="B19" s="294" t="s">
        <v>173</v>
      </c>
      <c r="C19" s="295"/>
      <c r="D19" s="296"/>
    </row>
    <row r="20" spans="1:4" ht="21" customHeight="1">
      <c r="A20" s="297"/>
      <c r="B20" s="294"/>
      <c r="C20" s="295"/>
      <c r="D20" s="296"/>
    </row>
    <row r="21" spans="1:4" ht="21" customHeight="1">
      <c r="A21" s="297"/>
      <c r="B21" s="294"/>
      <c r="C21" s="295"/>
      <c r="D21" s="296"/>
    </row>
    <row r="22" spans="1:4" ht="21" customHeight="1">
      <c r="A22" s="298" t="s">
        <v>174</v>
      </c>
      <c r="B22" s="299"/>
      <c r="C22" s="300">
        <f>'1. ทะเบียนคุมรับ-จ่าย'!E118</f>
        <v>272538.90000000002</v>
      </c>
      <c r="D22" s="301"/>
    </row>
    <row r="23" spans="1:4" ht="22.5" customHeight="1">
      <c r="C23" s="302">
        <f>C7+C8+C9+C10+C11+C12+C13-C14-C15-C16-C17-C18-C19-C20-C21-C22</f>
        <v>0</v>
      </c>
    </row>
    <row r="24" spans="1:4" ht="22.5" customHeight="1">
      <c r="B24" s="163"/>
    </row>
    <row r="25" spans="1:4" ht="22.5" customHeight="1"/>
    <row r="26" spans="1:4" ht="22.5" customHeight="1"/>
    <row r="27" spans="1:4" ht="22.5" customHeight="1">
      <c r="B27" s="304" t="s">
        <v>78</v>
      </c>
      <c r="C27" s="305"/>
      <c r="D27" s="306"/>
    </row>
    <row r="28" spans="1:4" ht="22.5" customHeight="1">
      <c r="B28" s="307" t="s">
        <v>259</v>
      </c>
      <c r="C28" s="305"/>
      <c r="D28" s="306"/>
    </row>
    <row r="29" spans="1:4" ht="22.5" customHeight="1">
      <c r="B29" s="304"/>
      <c r="C29" s="305"/>
      <c r="D29" s="306"/>
    </row>
    <row r="30" spans="1:4" ht="22.5" customHeight="1">
      <c r="B30" s="304" t="s">
        <v>80</v>
      </c>
      <c r="C30" s="305"/>
      <c r="D30" s="306"/>
    </row>
    <row r="31" spans="1:4" ht="22.5" customHeight="1">
      <c r="B31" s="307" t="s">
        <v>260</v>
      </c>
      <c r="C31" s="305"/>
      <c r="D31" s="306"/>
    </row>
    <row r="32" spans="1:4" ht="22.5" customHeight="1"/>
    <row r="33" ht="22.5" customHeight="1"/>
    <row r="34" ht="22.5" customHeight="1"/>
    <row r="35" ht="22.5" customHeight="1"/>
    <row r="36" ht="22.5" customHeight="1"/>
    <row r="37" ht="22.5" customHeight="1"/>
    <row r="38" ht="22.5" customHeight="1"/>
    <row r="39" ht="22.5" customHeight="1"/>
    <row r="40" ht="22.5" customHeight="1"/>
    <row r="41" ht="22.5" customHeight="1"/>
    <row r="42" ht="22.5" customHeight="1"/>
    <row r="43" ht="22.5" customHeight="1"/>
    <row r="44" ht="22.5" customHeight="1"/>
    <row r="45" ht="22.5" customHeight="1"/>
    <row r="46" ht="22.5" customHeight="1"/>
    <row r="47" ht="22.5" customHeight="1"/>
    <row r="48" ht="22.5" customHeight="1"/>
    <row r="49" ht="22.5" customHeight="1"/>
    <row r="50" ht="22.5" customHeight="1"/>
    <row r="51" ht="22.5" customHeight="1"/>
    <row r="52" ht="22.5" customHeight="1"/>
    <row r="53" ht="22.5" customHeight="1"/>
    <row r="54" ht="22.5" customHeight="1"/>
    <row r="55" ht="22.5" customHeight="1"/>
    <row r="56" ht="22.5" customHeight="1"/>
    <row r="57" ht="22.5" customHeight="1"/>
    <row r="58" ht="22.5" customHeight="1"/>
    <row r="59" ht="22.5" customHeight="1"/>
  </sheetData>
  <mergeCells count="5">
    <mergeCell ref="A1:D1"/>
    <mergeCell ref="A2:D2"/>
    <mergeCell ref="A3:D3"/>
    <mergeCell ref="A4:D4"/>
    <mergeCell ref="A6:B6"/>
  </mergeCells>
  <pageMargins left="0.3" right="0" top="0.5" bottom="0" header="0.31388888888888899" footer="0.31388888888888899"/>
  <pageSetup paperSize="9" scale="9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B3090-909E-4E4C-9119-E0C32A202D1E}">
  <sheetPr>
    <tabColor theme="5" tint="-0.249977111117893"/>
  </sheetPr>
  <dimension ref="A1:D59"/>
  <sheetViews>
    <sheetView tabSelected="1" view="pageBreakPreview" zoomScale="90" zoomScaleNormal="100" zoomScaleSheetLayoutView="90" workbookViewId="0">
      <selection activeCell="C13" sqref="C13"/>
    </sheetView>
  </sheetViews>
  <sheetFormatPr defaultColWidth="9" defaultRowHeight="21.75"/>
  <cols>
    <col min="1" max="1" width="5.7109375" style="284" customWidth="1"/>
    <col min="2" max="2" width="39" style="284" customWidth="1"/>
    <col min="3" max="3" width="24" style="285" customWidth="1"/>
    <col min="4" max="4" width="39.28515625" style="303" customWidth="1"/>
    <col min="5" max="16384" width="9" style="284"/>
  </cols>
  <sheetData>
    <row r="1" spans="1:4" ht="23.25" customHeight="1">
      <c r="A1" s="469" t="s">
        <v>167</v>
      </c>
      <c r="B1" s="469"/>
      <c r="C1" s="469"/>
      <c r="D1" s="469"/>
    </row>
    <row r="2" spans="1:4" ht="23.25" customHeight="1">
      <c r="A2" s="469" t="s">
        <v>263</v>
      </c>
      <c r="B2" s="469"/>
      <c r="C2" s="469"/>
      <c r="D2" s="469"/>
    </row>
    <row r="3" spans="1:4" ht="23.25" customHeight="1">
      <c r="A3" s="469" t="s">
        <v>240</v>
      </c>
      <c r="B3" s="469"/>
      <c r="C3" s="469"/>
      <c r="D3" s="469"/>
    </row>
    <row r="4" spans="1:4" ht="23.25" customHeight="1">
      <c r="A4" s="469" t="s">
        <v>318</v>
      </c>
      <c r="B4" s="469"/>
      <c r="C4" s="469"/>
      <c r="D4" s="469"/>
    </row>
    <row r="5" spans="1:4">
      <c r="D5" s="286" t="s">
        <v>262</v>
      </c>
    </row>
    <row r="6" spans="1:4" ht="44.25" customHeight="1">
      <c r="A6" s="470" t="s">
        <v>46</v>
      </c>
      <c r="B6" s="470"/>
      <c r="C6" s="288" t="s">
        <v>92</v>
      </c>
      <c r="D6" s="287" t="s">
        <v>168</v>
      </c>
    </row>
    <row r="7" spans="1:4" ht="21" customHeight="1">
      <c r="A7" s="289" t="s">
        <v>169</v>
      </c>
      <c r="B7" s="290"/>
      <c r="C7" s="291">
        <f>C22</f>
        <v>6063641.2400000002</v>
      </c>
      <c r="D7" s="292"/>
    </row>
    <row r="8" spans="1:4" ht="21" customHeight="1">
      <c r="A8" s="293" t="s">
        <v>170</v>
      </c>
      <c r="B8" s="294"/>
      <c r="C8" s="295"/>
      <c r="D8" s="296"/>
    </row>
    <row r="9" spans="1:4" ht="21" customHeight="1">
      <c r="A9" s="297"/>
      <c r="B9" s="294"/>
      <c r="C9" s="295"/>
      <c r="D9" s="296"/>
    </row>
    <row r="10" spans="1:4" ht="21" customHeight="1">
      <c r="A10" s="297"/>
      <c r="B10" s="294"/>
      <c r="C10" s="295"/>
      <c r="D10" s="296"/>
    </row>
    <row r="11" spans="1:4" ht="21" customHeight="1">
      <c r="A11" s="297"/>
      <c r="B11" s="294"/>
      <c r="C11" s="295"/>
      <c r="D11" s="296"/>
    </row>
    <row r="12" spans="1:4" ht="21" customHeight="1">
      <c r="A12" s="297"/>
      <c r="B12" s="294"/>
      <c r="C12" s="295"/>
      <c r="D12" s="296"/>
    </row>
    <row r="13" spans="1:4" ht="21" customHeight="1">
      <c r="A13" s="297"/>
      <c r="B13" s="294"/>
      <c r="C13" s="295"/>
      <c r="D13" s="296"/>
    </row>
    <row r="14" spans="1:4" ht="21" customHeight="1">
      <c r="A14" s="293" t="s">
        <v>171</v>
      </c>
      <c r="B14" s="294"/>
      <c r="C14" s="295"/>
      <c r="D14" s="296"/>
    </row>
    <row r="15" spans="1:4" ht="21" customHeight="1">
      <c r="A15" s="297"/>
      <c r="B15" s="294" t="s">
        <v>172</v>
      </c>
      <c r="C15" s="295"/>
      <c r="D15" s="296"/>
    </row>
    <row r="16" spans="1:4" ht="21" customHeight="1">
      <c r="A16" s="297"/>
      <c r="B16" s="294" t="s">
        <v>173</v>
      </c>
      <c r="C16" s="295"/>
      <c r="D16" s="296"/>
    </row>
    <row r="17" spans="1:4" ht="21" customHeight="1">
      <c r="A17" s="297"/>
      <c r="B17" s="294" t="s">
        <v>173</v>
      </c>
      <c r="C17" s="295"/>
      <c r="D17" s="296"/>
    </row>
    <row r="18" spans="1:4" ht="21" customHeight="1">
      <c r="A18" s="297"/>
      <c r="B18" s="294" t="s">
        <v>173</v>
      </c>
      <c r="C18" s="295"/>
      <c r="D18" s="296"/>
    </row>
    <row r="19" spans="1:4" ht="21" customHeight="1">
      <c r="A19" s="297"/>
      <c r="B19" s="294" t="s">
        <v>173</v>
      </c>
      <c r="C19" s="295"/>
      <c r="D19" s="296"/>
    </row>
    <row r="20" spans="1:4" ht="21" customHeight="1">
      <c r="A20" s="297"/>
      <c r="B20" s="294"/>
      <c r="C20" s="295"/>
      <c r="D20" s="296"/>
    </row>
    <row r="21" spans="1:4" ht="21" customHeight="1">
      <c r="A21" s="297"/>
      <c r="B21" s="294"/>
      <c r="C21" s="295"/>
      <c r="D21" s="296"/>
    </row>
    <row r="22" spans="1:4" ht="21" customHeight="1">
      <c r="A22" s="298" t="s">
        <v>174</v>
      </c>
      <c r="B22" s="299"/>
      <c r="C22" s="300">
        <f>'1. ทะเบียนคุมรับ-จ่าย'!F118</f>
        <v>6063641.2400000002</v>
      </c>
      <c r="D22" s="301"/>
    </row>
    <row r="23" spans="1:4" ht="22.5" customHeight="1">
      <c r="C23" s="302">
        <f>C7+C8+C9+C10+C11+C12+C13-C14-C15-C16-C17-C18-C19-C20-C21-C22</f>
        <v>0</v>
      </c>
    </row>
    <row r="24" spans="1:4" ht="22.5" customHeight="1">
      <c r="B24" s="163"/>
    </row>
    <row r="25" spans="1:4" ht="22.5" customHeight="1"/>
    <row r="26" spans="1:4" ht="22.5" customHeight="1"/>
    <row r="27" spans="1:4" ht="22.5" customHeight="1">
      <c r="B27" s="304" t="s">
        <v>78</v>
      </c>
      <c r="C27" s="305"/>
      <c r="D27" s="306"/>
    </row>
    <row r="28" spans="1:4" ht="22.5" customHeight="1">
      <c r="B28" s="307" t="s">
        <v>259</v>
      </c>
      <c r="C28" s="305"/>
      <c r="D28" s="306"/>
    </row>
    <row r="29" spans="1:4" ht="22.5" customHeight="1">
      <c r="B29" s="304"/>
      <c r="C29" s="305"/>
      <c r="D29" s="306"/>
    </row>
    <row r="30" spans="1:4" ht="22.5" customHeight="1">
      <c r="B30" s="304" t="s">
        <v>80</v>
      </c>
      <c r="C30" s="305"/>
      <c r="D30" s="306"/>
    </row>
    <row r="31" spans="1:4" ht="22.5" customHeight="1">
      <c r="B31" s="307" t="s">
        <v>260</v>
      </c>
      <c r="C31" s="305"/>
      <c r="D31" s="306"/>
    </row>
    <row r="32" spans="1:4" ht="22.5" customHeight="1"/>
    <row r="33" ht="22.5" customHeight="1"/>
    <row r="34" ht="22.5" customHeight="1"/>
    <row r="35" ht="22.5" customHeight="1"/>
    <row r="36" ht="22.5" customHeight="1"/>
    <row r="37" ht="22.5" customHeight="1"/>
    <row r="38" ht="22.5" customHeight="1"/>
    <row r="39" ht="22.5" customHeight="1"/>
    <row r="40" ht="22.5" customHeight="1"/>
    <row r="41" ht="22.5" customHeight="1"/>
    <row r="42" ht="22.5" customHeight="1"/>
    <row r="43" ht="22.5" customHeight="1"/>
    <row r="44" ht="22.5" customHeight="1"/>
    <row r="45" ht="22.5" customHeight="1"/>
    <row r="46" ht="22.5" customHeight="1"/>
    <row r="47" ht="22.5" customHeight="1"/>
    <row r="48" ht="22.5" customHeight="1"/>
    <row r="49" ht="22.5" customHeight="1"/>
    <row r="50" ht="22.5" customHeight="1"/>
    <row r="51" ht="22.5" customHeight="1"/>
    <row r="52" ht="22.5" customHeight="1"/>
    <row r="53" ht="22.5" customHeight="1"/>
    <row r="54" ht="22.5" customHeight="1"/>
    <row r="55" ht="22.5" customHeight="1"/>
    <row r="56" ht="22.5" customHeight="1"/>
    <row r="57" ht="22.5" customHeight="1"/>
    <row r="58" ht="22.5" customHeight="1"/>
    <row r="59" ht="22.5" customHeight="1"/>
  </sheetData>
  <mergeCells count="5">
    <mergeCell ref="A1:D1"/>
    <mergeCell ref="A2:D2"/>
    <mergeCell ref="A3:D3"/>
    <mergeCell ref="A4:D4"/>
    <mergeCell ref="A6:B6"/>
  </mergeCells>
  <pageMargins left="0.3" right="0" top="0.5" bottom="0" header="0.3" footer="0.3"/>
  <pageSetup paperSize="9" scale="92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5" tint="-0.249977111117893"/>
  </sheetPr>
  <dimension ref="A1:J39"/>
  <sheetViews>
    <sheetView view="pageBreakPreview" zoomScaleNormal="100" zoomScaleSheetLayoutView="100" workbookViewId="0">
      <selection activeCell="C25" sqref="C25:C26"/>
    </sheetView>
  </sheetViews>
  <sheetFormatPr defaultColWidth="9" defaultRowHeight="24"/>
  <cols>
    <col min="1" max="1" width="19.7109375" style="311" customWidth="1"/>
    <col min="2" max="2" width="6.7109375" style="311" customWidth="1"/>
    <col min="3" max="3" width="44.42578125" style="311" customWidth="1"/>
    <col min="4" max="4" width="14.42578125" style="311" customWidth="1"/>
    <col min="5" max="5" width="15.5703125" style="323" customWidth="1"/>
    <col min="6" max="6" width="16" style="324" customWidth="1"/>
    <col min="7" max="7" width="19.85546875" style="324" customWidth="1"/>
    <col min="8" max="8" width="17.28515625" style="324" customWidth="1"/>
    <col min="9" max="9" width="17.5703125" style="324" customWidth="1"/>
    <col min="10" max="10" width="13.5703125" style="311" bestFit="1" customWidth="1"/>
    <col min="11" max="16384" width="9" style="311"/>
  </cols>
  <sheetData>
    <row r="1" spans="1:9" s="309" customFormat="1">
      <c r="A1" s="471" t="s">
        <v>207</v>
      </c>
      <c r="B1" s="471"/>
      <c r="C1" s="471"/>
      <c r="D1" s="471"/>
      <c r="E1" s="471"/>
      <c r="F1" s="471"/>
      <c r="G1" s="471"/>
      <c r="H1" s="471"/>
      <c r="I1" s="471"/>
    </row>
    <row r="2" spans="1:9" s="309" customFormat="1">
      <c r="A2" s="471" t="s">
        <v>240</v>
      </c>
      <c r="B2" s="471"/>
      <c r="C2" s="471"/>
      <c r="D2" s="471"/>
      <c r="E2" s="471"/>
      <c r="F2" s="471"/>
      <c r="G2" s="471"/>
      <c r="H2" s="471"/>
      <c r="I2" s="471"/>
    </row>
    <row r="3" spans="1:9" s="309" customFormat="1">
      <c r="A3" s="471" t="s">
        <v>319</v>
      </c>
      <c r="B3" s="471"/>
      <c r="C3" s="471"/>
      <c r="D3" s="471"/>
      <c r="E3" s="471"/>
      <c r="F3" s="471"/>
      <c r="G3" s="471"/>
      <c r="H3" s="471"/>
      <c r="I3" s="471"/>
    </row>
    <row r="4" spans="1:9" ht="22.5" customHeight="1">
      <c r="A4" s="472" t="s">
        <v>208</v>
      </c>
      <c r="B4" s="472" t="s">
        <v>209</v>
      </c>
      <c r="C4" s="472" t="s">
        <v>46</v>
      </c>
      <c r="D4" s="472" t="s">
        <v>210</v>
      </c>
      <c r="E4" s="473" t="s">
        <v>237</v>
      </c>
      <c r="F4" s="475" t="s">
        <v>211</v>
      </c>
      <c r="G4" s="475"/>
      <c r="H4" s="475" t="s">
        <v>212</v>
      </c>
      <c r="I4" s="475"/>
    </row>
    <row r="5" spans="1:9" ht="108.75" customHeight="1">
      <c r="A5" s="472"/>
      <c r="B5" s="472"/>
      <c r="C5" s="472"/>
      <c r="D5" s="472"/>
      <c r="E5" s="474"/>
      <c r="F5" s="312" t="s">
        <v>213</v>
      </c>
      <c r="G5" s="312" t="s">
        <v>232</v>
      </c>
      <c r="H5" s="312" t="s">
        <v>214</v>
      </c>
      <c r="I5" s="312" t="s">
        <v>215</v>
      </c>
    </row>
    <row r="6" spans="1:9" ht="23.25" customHeight="1">
      <c r="A6" s="313" t="s">
        <v>264</v>
      </c>
      <c r="B6" s="313" t="s">
        <v>94</v>
      </c>
      <c r="C6" s="314" t="s">
        <v>265</v>
      </c>
      <c r="D6" s="314" t="s">
        <v>266</v>
      </c>
      <c r="E6" s="315">
        <f>F6+G6+H6+I6</f>
        <v>64426.19</v>
      </c>
      <c r="F6" s="316"/>
      <c r="G6" s="316">
        <f>'1. ทะเบียนคุมรับ-จ่าย'!H118+'1. ทะเบียนคุมรับ-จ่าย'!K118+'1. ทะเบียนคุมรับ-จ่าย'!N118+'1. ทะเบียนคุมรับ-จ่าย'!Q118+'1. ทะเบียนคุมรับ-จ่าย'!T118+'1. ทะเบียนคุมรับ-จ่าย'!W118+'1. ทะเบียนคุมรับ-จ่าย'!Z118+'1. ทะเบียนคุมรับ-จ่าย'!AC118+'1. ทะเบียนคุมรับ-จ่าย'!AF118</f>
        <v>64426.19</v>
      </c>
      <c r="H6" s="316"/>
      <c r="I6" s="316"/>
    </row>
    <row r="7" spans="1:9" ht="21" customHeight="1">
      <c r="A7" s="317"/>
      <c r="B7" s="317"/>
      <c r="C7" s="317" t="s">
        <v>267</v>
      </c>
      <c r="D7" s="317" t="s">
        <v>266</v>
      </c>
      <c r="E7" s="333">
        <f>F7+G7+H7+I7</f>
        <v>0</v>
      </c>
      <c r="F7" s="319"/>
      <c r="G7" s="319">
        <f>'1. ทะเบียนคุมรับ-จ่าย'!AI118</f>
        <v>0</v>
      </c>
      <c r="H7" s="319"/>
      <c r="I7" s="319"/>
    </row>
    <row r="8" spans="1:9" ht="21" customHeight="1">
      <c r="A8" s="317"/>
      <c r="B8" s="317"/>
      <c r="C8" s="317" t="s">
        <v>279</v>
      </c>
      <c r="D8" s="317" t="s">
        <v>266</v>
      </c>
      <c r="E8" s="333">
        <f>F8+G8+H8+I8</f>
        <v>109.26</v>
      </c>
      <c r="F8" s="319">
        <f>39.45+69.81</f>
        <v>109.26</v>
      </c>
      <c r="G8" s="319"/>
      <c r="H8" s="319"/>
      <c r="I8" s="319"/>
    </row>
    <row r="9" spans="1:9" ht="21" customHeight="1">
      <c r="A9" s="317"/>
      <c r="B9" s="317"/>
      <c r="C9" s="317" t="s">
        <v>278</v>
      </c>
      <c r="D9" s="317" t="s">
        <v>266</v>
      </c>
      <c r="E9" s="333">
        <f>F9+G9+H9+I9</f>
        <v>20398.27</v>
      </c>
      <c r="F9" s="319"/>
      <c r="G9" s="319">
        <f>30590.27-2548-2548-2548-2548</f>
        <v>20398.27</v>
      </c>
      <c r="H9" s="319"/>
      <c r="I9" s="319"/>
    </row>
    <row r="10" spans="1:9" ht="21" customHeight="1">
      <c r="A10" s="317"/>
      <c r="B10" s="317"/>
      <c r="C10" s="317" t="s">
        <v>268</v>
      </c>
      <c r="D10" s="317"/>
      <c r="E10" s="318"/>
      <c r="F10" s="319"/>
      <c r="G10" s="319"/>
      <c r="H10" s="319"/>
      <c r="I10" s="319"/>
    </row>
    <row r="11" spans="1:9" ht="21" customHeight="1">
      <c r="A11" s="320"/>
      <c r="B11" s="320"/>
      <c r="C11" s="317" t="s">
        <v>284</v>
      </c>
      <c r="D11" s="317" t="s">
        <v>286</v>
      </c>
      <c r="E11" s="318">
        <f>H11+I11</f>
        <v>61371.110000000008</v>
      </c>
      <c r="F11" s="319"/>
      <c r="G11" s="319"/>
      <c r="H11" s="319"/>
      <c r="I11" s="319">
        <f>122736.96-61365.85</f>
        <v>61371.110000000008</v>
      </c>
    </row>
    <row r="12" spans="1:9" ht="21" hidden="1" customHeight="1">
      <c r="A12" s="317"/>
      <c r="B12" s="317"/>
      <c r="C12" s="317"/>
      <c r="D12" s="317"/>
      <c r="E12" s="318"/>
      <c r="F12" s="319"/>
      <c r="G12" s="319"/>
      <c r="H12" s="319"/>
      <c r="I12" s="319"/>
    </row>
    <row r="13" spans="1:9" ht="21" hidden="1" customHeight="1">
      <c r="A13" s="317"/>
      <c r="B13" s="317"/>
      <c r="C13" s="317"/>
      <c r="D13" s="317"/>
      <c r="E13" s="318"/>
      <c r="F13" s="319"/>
      <c r="G13" s="319"/>
      <c r="H13" s="319"/>
      <c r="I13" s="319"/>
    </row>
    <row r="14" spans="1:9" ht="21" hidden="1" customHeight="1">
      <c r="A14" s="317"/>
      <c r="B14" s="317"/>
      <c r="C14" s="317"/>
      <c r="D14" s="317"/>
      <c r="E14" s="318"/>
      <c r="F14" s="319"/>
      <c r="G14" s="319"/>
      <c r="H14" s="319"/>
      <c r="I14" s="319"/>
    </row>
    <row r="15" spans="1:9" ht="21" hidden="1" customHeight="1">
      <c r="A15" s="317"/>
      <c r="B15" s="317"/>
      <c r="C15" s="317"/>
      <c r="D15" s="317"/>
      <c r="E15" s="318"/>
      <c r="F15" s="319"/>
      <c r="G15" s="319"/>
      <c r="H15" s="319"/>
      <c r="I15" s="319"/>
    </row>
    <row r="16" spans="1:9" ht="21" hidden="1" customHeight="1">
      <c r="A16" s="317"/>
      <c r="B16" s="317"/>
      <c r="C16" s="317"/>
      <c r="D16" s="317"/>
      <c r="E16" s="318"/>
      <c r="F16" s="319"/>
      <c r="G16" s="319"/>
      <c r="H16" s="319"/>
      <c r="I16" s="319"/>
    </row>
    <row r="17" spans="1:10" ht="21" hidden="1" customHeight="1">
      <c r="A17" s="317"/>
      <c r="B17" s="317"/>
      <c r="C17" s="317"/>
      <c r="D17" s="317"/>
      <c r="E17" s="318"/>
      <c r="F17" s="319"/>
      <c r="G17" s="319"/>
      <c r="H17" s="319"/>
      <c r="I17" s="319"/>
    </row>
    <row r="18" spans="1:10" ht="21" customHeight="1">
      <c r="A18" s="317"/>
      <c r="B18" s="317"/>
      <c r="C18" s="317" t="s">
        <v>285</v>
      </c>
      <c r="D18" s="317"/>
      <c r="E18" s="318"/>
      <c r="F18" s="319"/>
      <c r="G18" s="319"/>
      <c r="H18" s="319"/>
      <c r="I18" s="319"/>
    </row>
    <row r="19" spans="1:10" ht="21" customHeight="1">
      <c r="A19" s="317"/>
      <c r="B19" s="317"/>
      <c r="C19" s="317" t="s">
        <v>297</v>
      </c>
      <c r="D19" s="317" t="s">
        <v>266</v>
      </c>
      <c r="E19" s="318">
        <f>F19+G19</f>
        <v>0</v>
      </c>
      <c r="F19" s="319"/>
      <c r="G19" s="319">
        <f>33856.53-33856.53</f>
        <v>0</v>
      </c>
      <c r="H19" s="319"/>
      <c r="I19" s="319"/>
    </row>
    <row r="20" spans="1:10" ht="21" hidden="1" customHeight="1">
      <c r="A20" s="317"/>
      <c r="B20" s="317"/>
      <c r="C20" s="317"/>
      <c r="D20" s="317"/>
      <c r="E20" s="318"/>
      <c r="F20" s="319"/>
      <c r="G20" s="319"/>
      <c r="H20" s="319"/>
      <c r="I20" s="319"/>
    </row>
    <row r="21" spans="1:10" ht="21" customHeight="1">
      <c r="A21" s="317"/>
      <c r="B21" s="317"/>
      <c r="C21" s="317" t="s">
        <v>293</v>
      </c>
      <c r="D21" s="317" t="s">
        <v>286</v>
      </c>
      <c r="E21" s="318">
        <f>H21+I21</f>
        <v>45040.9</v>
      </c>
      <c r="F21" s="319"/>
      <c r="G21" s="319"/>
      <c r="H21" s="319"/>
      <c r="I21" s="319">
        <f>64480.9-19440</f>
        <v>45040.9</v>
      </c>
    </row>
    <row r="22" spans="1:10" ht="21" customHeight="1">
      <c r="A22" s="317"/>
      <c r="B22" s="317"/>
      <c r="C22" s="317" t="s">
        <v>294</v>
      </c>
      <c r="D22" s="317"/>
      <c r="E22" s="318"/>
      <c r="F22" s="319"/>
      <c r="G22" s="319"/>
      <c r="H22" s="319"/>
      <c r="I22" s="319"/>
    </row>
    <row r="23" spans="1:10" ht="21" customHeight="1">
      <c r="A23" s="317"/>
      <c r="B23" s="317"/>
      <c r="C23" s="317" t="s">
        <v>295</v>
      </c>
      <c r="D23" s="317" t="s">
        <v>286</v>
      </c>
      <c r="E23" s="318">
        <f>H23+I23</f>
        <v>81193.17</v>
      </c>
      <c r="F23" s="319"/>
      <c r="G23" s="319"/>
      <c r="H23" s="319"/>
      <c r="I23" s="319">
        <f>107713.5-26460-60.33</f>
        <v>81193.17</v>
      </c>
    </row>
    <row r="24" spans="1:10" ht="21" customHeight="1">
      <c r="A24" s="317"/>
      <c r="B24" s="317"/>
      <c r="C24" s="317" t="s">
        <v>296</v>
      </c>
      <c r="D24" s="317"/>
      <c r="E24" s="318"/>
      <c r="F24" s="319"/>
      <c r="G24" s="319"/>
      <c r="H24" s="319"/>
      <c r="I24" s="319"/>
    </row>
    <row r="25" spans="1:10" ht="21" customHeight="1">
      <c r="A25" s="317"/>
      <c r="B25" s="317"/>
      <c r="C25" s="317" t="s">
        <v>321</v>
      </c>
      <c r="D25" s="317" t="s">
        <v>266</v>
      </c>
      <c r="E25" s="318"/>
      <c r="F25" s="319"/>
      <c r="G25" s="319">
        <f>77337.97-77337.97</f>
        <v>0</v>
      </c>
      <c r="H25" s="319"/>
      <c r="I25" s="319"/>
    </row>
    <row r="26" spans="1:10" ht="21" customHeight="1">
      <c r="A26" s="317"/>
      <c r="B26" s="317"/>
      <c r="C26" s="317" t="s">
        <v>322</v>
      </c>
      <c r="D26" s="317"/>
      <c r="E26" s="318"/>
      <c r="F26" s="319"/>
      <c r="G26" s="319"/>
      <c r="H26" s="319"/>
      <c r="I26" s="319"/>
    </row>
    <row r="27" spans="1:10" s="308" customFormat="1" ht="24.75" thickBot="1">
      <c r="A27" s="321"/>
      <c r="B27" s="321"/>
      <c r="C27" s="321" t="s">
        <v>216</v>
      </c>
      <c r="D27" s="332"/>
      <c r="E27" s="322">
        <f>SUM(E6:E24)</f>
        <v>272538.90000000002</v>
      </c>
      <c r="F27" s="322">
        <f>SUM(F6:F24)</f>
        <v>109.26</v>
      </c>
      <c r="G27" s="322">
        <f>SUM(G6:G24)</f>
        <v>84824.46</v>
      </c>
      <c r="H27" s="322">
        <f>SUM(H6:H24)</f>
        <v>0</v>
      </c>
      <c r="I27" s="322">
        <f>SUM(I6:I24)</f>
        <v>187605.18</v>
      </c>
      <c r="J27" s="334">
        <f>F27+G27+I27</f>
        <v>272538.90000000002</v>
      </c>
    </row>
    <row r="28" spans="1:10" ht="5.25" customHeight="1" thickTop="1"/>
    <row r="29" spans="1:10">
      <c r="B29" s="325" t="s">
        <v>78</v>
      </c>
      <c r="F29" s="325" t="s">
        <v>80</v>
      </c>
    </row>
    <row r="30" spans="1:10" ht="18" customHeight="1">
      <c r="B30" s="326" t="s">
        <v>269</v>
      </c>
      <c r="F30" s="326" t="s">
        <v>270</v>
      </c>
    </row>
    <row r="31" spans="1:10" ht="0.75" customHeight="1"/>
    <row r="32" spans="1:10" s="328" customFormat="1" ht="17.25" customHeight="1">
      <c r="A32" s="365" t="s">
        <v>168</v>
      </c>
      <c r="B32" s="366" t="s">
        <v>217</v>
      </c>
      <c r="C32" s="366"/>
      <c r="D32" s="366"/>
      <c r="E32" s="367"/>
      <c r="F32" s="368"/>
      <c r="G32" s="368"/>
      <c r="H32" s="368"/>
      <c r="I32" s="368"/>
    </row>
    <row r="33" spans="1:9" s="328" customFormat="1" ht="18.75" customHeight="1">
      <c r="A33" s="366"/>
      <c r="B33" s="366" t="s">
        <v>218</v>
      </c>
      <c r="C33" s="366"/>
      <c r="D33" s="366"/>
      <c r="E33" s="367" t="s">
        <v>219</v>
      </c>
      <c r="F33" s="368"/>
      <c r="G33" s="368"/>
      <c r="H33" s="368"/>
      <c r="I33" s="368"/>
    </row>
    <row r="34" spans="1:9" s="328" customFormat="1" ht="17.25" customHeight="1">
      <c r="A34" s="366"/>
      <c r="B34" s="366"/>
      <c r="C34" s="366"/>
      <c r="D34" s="366"/>
      <c r="E34" s="367" t="s">
        <v>220</v>
      </c>
      <c r="F34" s="368"/>
      <c r="G34" s="368"/>
      <c r="H34" s="368"/>
      <c r="I34" s="368"/>
    </row>
    <row r="35" spans="1:9" s="328" customFormat="1" ht="18.75" customHeight="1">
      <c r="A35" s="366"/>
      <c r="B35" s="369" t="s">
        <v>221</v>
      </c>
      <c r="C35" s="366"/>
      <c r="D35" s="366"/>
      <c r="E35" s="367" t="s">
        <v>222</v>
      </c>
      <c r="F35" s="368"/>
      <c r="G35" s="368"/>
      <c r="H35" s="368"/>
      <c r="I35" s="368"/>
    </row>
    <row r="36" spans="1:9" s="328" customFormat="1" ht="17.25" customHeight="1">
      <c r="A36" s="366"/>
      <c r="B36" s="369"/>
      <c r="C36" s="366"/>
      <c r="D36" s="366"/>
      <c r="E36" s="367" t="s">
        <v>223</v>
      </c>
      <c r="F36" s="368"/>
      <c r="G36" s="368"/>
      <c r="H36" s="368"/>
      <c r="I36" s="368"/>
    </row>
    <row r="37" spans="1:9" s="328" customFormat="1" ht="18.75" customHeight="1">
      <c r="A37" s="366"/>
      <c r="B37" s="369" t="s">
        <v>224</v>
      </c>
      <c r="C37" s="366"/>
      <c r="D37" s="366"/>
      <c r="E37" s="367" t="s">
        <v>225</v>
      </c>
      <c r="F37" s="368"/>
      <c r="G37" s="368"/>
      <c r="H37" s="368"/>
      <c r="I37" s="368"/>
    </row>
    <row r="38" spans="1:9" s="328" customFormat="1" ht="18.75" customHeight="1">
      <c r="A38" s="366"/>
      <c r="B38" s="369" t="s">
        <v>226</v>
      </c>
      <c r="C38" s="366"/>
      <c r="D38" s="366"/>
      <c r="E38" s="367" t="s">
        <v>227</v>
      </c>
      <c r="F38" s="368"/>
      <c r="G38" s="368"/>
      <c r="H38" s="368"/>
      <c r="I38" s="368"/>
    </row>
    <row r="39" spans="1:9" s="328" customFormat="1" ht="21.75">
      <c r="E39" s="329"/>
      <c r="F39" s="330"/>
      <c r="G39" s="330"/>
      <c r="H39" s="330"/>
      <c r="I39" s="330"/>
    </row>
  </sheetData>
  <mergeCells count="10">
    <mergeCell ref="A1:I1"/>
    <mergeCell ref="A2:I2"/>
    <mergeCell ref="A3:I3"/>
    <mergeCell ref="A4:A5"/>
    <mergeCell ref="B4:B5"/>
    <mergeCell ref="C4:C5"/>
    <mergeCell ref="D4:D5"/>
    <mergeCell ref="E4:E5"/>
    <mergeCell ref="F4:G4"/>
    <mergeCell ref="H4:I4"/>
  </mergeCells>
  <pageMargins left="0.3" right="0" top="0.5" bottom="0" header="0.17" footer="0.17"/>
  <pageSetup paperSize="9" scale="8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47CD8-0F01-4951-B750-9C8BB698ADB1}">
  <sheetPr>
    <tabColor theme="5" tint="-0.249977111117893"/>
  </sheetPr>
  <dimension ref="A1:J35"/>
  <sheetViews>
    <sheetView view="pageBreakPreview" zoomScaleNormal="100" zoomScaleSheetLayoutView="100" workbookViewId="0">
      <selection activeCell="C27" sqref="C27"/>
    </sheetView>
  </sheetViews>
  <sheetFormatPr defaultColWidth="9" defaultRowHeight="24"/>
  <cols>
    <col min="1" max="1" width="17.42578125" style="311" customWidth="1"/>
    <col min="2" max="2" width="7.42578125" style="311" customWidth="1"/>
    <col min="3" max="3" width="41.5703125" style="311" customWidth="1"/>
    <col min="4" max="4" width="12.42578125" style="311" customWidth="1"/>
    <col min="5" max="5" width="16.7109375" style="323" customWidth="1"/>
    <col min="6" max="6" width="17.28515625" style="324" customWidth="1"/>
    <col min="7" max="7" width="18.42578125" style="324" customWidth="1"/>
    <col min="8" max="8" width="16.85546875" style="324" customWidth="1"/>
    <col min="9" max="9" width="17.5703125" style="324" customWidth="1"/>
    <col min="10" max="10" width="15.140625" style="311" bestFit="1" customWidth="1"/>
    <col min="11" max="16384" width="9" style="311"/>
  </cols>
  <sheetData>
    <row r="1" spans="1:9" s="309" customFormat="1">
      <c r="A1" s="471" t="s">
        <v>207</v>
      </c>
      <c r="B1" s="471"/>
      <c r="C1" s="471"/>
      <c r="D1" s="471"/>
      <c r="E1" s="471"/>
      <c r="F1" s="471"/>
      <c r="G1" s="471"/>
      <c r="H1" s="471"/>
      <c r="I1" s="471"/>
    </row>
    <row r="2" spans="1:9" s="309" customFormat="1">
      <c r="A2" s="471" t="s">
        <v>240</v>
      </c>
      <c r="B2" s="471"/>
      <c r="C2" s="471"/>
      <c r="D2" s="471"/>
      <c r="E2" s="471"/>
      <c r="F2" s="471"/>
      <c r="G2" s="471"/>
      <c r="H2" s="471"/>
      <c r="I2" s="471"/>
    </row>
    <row r="3" spans="1:9" s="309" customFormat="1">
      <c r="A3" s="471" t="s">
        <v>320</v>
      </c>
      <c r="B3" s="471"/>
      <c r="C3" s="471"/>
      <c r="D3" s="471"/>
      <c r="E3" s="471"/>
      <c r="F3" s="471"/>
      <c r="G3" s="471"/>
      <c r="H3" s="471"/>
      <c r="I3" s="471"/>
    </row>
    <row r="4" spans="1:9" ht="9.75" customHeight="1">
      <c r="A4" s="310"/>
      <c r="B4" s="310"/>
      <c r="C4" s="310"/>
      <c r="D4" s="310"/>
      <c r="E4" s="310"/>
      <c r="F4" s="310"/>
      <c r="G4" s="310"/>
      <c r="H4" s="310"/>
      <c r="I4" s="310"/>
    </row>
    <row r="5" spans="1:9" ht="22.5" customHeight="1">
      <c r="A5" s="472" t="s">
        <v>208</v>
      </c>
      <c r="B5" s="472" t="s">
        <v>209</v>
      </c>
      <c r="C5" s="472" t="s">
        <v>46</v>
      </c>
      <c r="D5" s="472" t="s">
        <v>210</v>
      </c>
      <c r="E5" s="473" t="s">
        <v>237</v>
      </c>
      <c r="F5" s="475" t="s">
        <v>211</v>
      </c>
      <c r="G5" s="475"/>
      <c r="H5" s="475" t="s">
        <v>212</v>
      </c>
      <c r="I5" s="475"/>
    </row>
    <row r="6" spans="1:9" ht="85.5" customHeight="1">
      <c r="A6" s="472"/>
      <c r="B6" s="472"/>
      <c r="C6" s="472"/>
      <c r="D6" s="472"/>
      <c r="E6" s="474"/>
      <c r="F6" s="312" t="s">
        <v>213</v>
      </c>
      <c r="G6" s="312" t="s">
        <v>232</v>
      </c>
      <c r="H6" s="312" t="s">
        <v>214</v>
      </c>
      <c r="I6" s="312" t="s">
        <v>215</v>
      </c>
    </row>
    <row r="7" spans="1:9">
      <c r="A7" s="313" t="s">
        <v>271</v>
      </c>
      <c r="B7" s="313" t="s">
        <v>272</v>
      </c>
      <c r="C7" s="314" t="s">
        <v>265</v>
      </c>
      <c r="D7" s="314" t="s">
        <v>266</v>
      </c>
      <c r="E7" s="315">
        <f>F7+G7+H7+I7</f>
        <v>411342.61000000004</v>
      </c>
      <c r="F7" s="316"/>
      <c r="G7" s="316">
        <f>'1. ทะเบียนคุมรับ-จ่าย'!O118+'1. ทะเบียนคุมรับ-จ่าย'!R118+'1. ทะเบียนคุมรับ-จ่าย'!U118+'1. ทะเบียนคุมรับ-จ่าย'!X118+'1. ทะเบียนคุมรับ-จ่าย'!AA118+'1. ทะเบียนคุมรับ-จ่าย'!AD118+'1. ทะเบียนคุมรับ-จ่าย'!AG118</f>
        <v>411342.61000000004</v>
      </c>
      <c r="H7" s="316"/>
      <c r="I7" s="316"/>
    </row>
    <row r="8" spans="1:9">
      <c r="A8" s="317"/>
      <c r="B8" s="317"/>
      <c r="C8" s="317" t="s">
        <v>267</v>
      </c>
      <c r="D8" s="317" t="s">
        <v>266</v>
      </c>
      <c r="E8" s="333">
        <f>F8+G8+H8+I8</f>
        <v>187163.58</v>
      </c>
      <c r="F8" s="319"/>
      <c r="G8" s="319">
        <f>'1. ทะเบียนคุมรับ-จ่าย'!AJ118</f>
        <v>187163.58</v>
      </c>
      <c r="H8" s="319"/>
      <c r="I8" s="319"/>
    </row>
    <row r="9" spans="1:9">
      <c r="A9" s="317"/>
      <c r="B9" s="317"/>
      <c r="C9" s="317" t="s">
        <v>279</v>
      </c>
      <c r="D9" s="317" t="s">
        <v>266</v>
      </c>
      <c r="E9" s="333">
        <f>F9+G9+H9+I9</f>
        <v>1972.11</v>
      </c>
      <c r="F9" s="319">
        <f>550.29+1421.82</f>
        <v>1972.11</v>
      </c>
      <c r="G9" s="319"/>
      <c r="H9" s="319"/>
      <c r="I9" s="319"/>
    </row>
    <row r="10" spans="1:9">
      <c r="A10" s="317"/>
      <c r="B10" s="317"/>
      <c r="C10" s="317" t="s">
        <v>287</v>
      </c>
      <c r="D10" s="317" t="s">
        <v>266</v>
      </c>
      <c r="E10" s="318">
        <f>F10+G10</f>
        <v>997311.05</v>
      </c>
      <c r="F10" s="319"/>
      <c r="G10" s="319">
        <f>1993811.05-996500</f>
        <v>997311.05</v>
      </c>
      <c r="H10" s="319"/>
      <c r="I10" s="319"/>
    </row>
    <row r="11" spans="1:9" hidden="1">
      <c r="A11" s="317"/>
      <c r="B11" s="317"/>
      <c r="C11" s="317"/>
      <c r="D11" s="317"/>
      <c r="E11" s="318"/>
      <c r="F11" s="319"/>
      <c r="G11" s="319"/>
      <c r="H11" s="319"/>
      <c r="I11" s="319"/>
    </row>
    <row r="12" spans="1:9" hidden="1">
      <c r="A12" s="320"/>
      <c r="B12" s="320"/>
      <c r="C12" s="317"/>
      <c r="D12" s="317"/>
      <c r="E12" s="318"/>
      <c r="F12" s="319"/>
      <c r="G12" s="319"/>
      <c r="H12" s="319"/>
      <c r="I12" s="319"/>
    </row>
    <row r="13" spans="1:9" ht="14.25" hidden="1" customHeight="1">
      <c r="A13" s="317"/>
      <c r="B13" s="317"/>
      <c r="C13" s="317"/>
      <c r="D13" s="317"/>
      <c r="E13" s="318"/>
      <c r="F13" s="319"/>
      <c r="G13" s="319"/>
      <c r="H13" s="319"/>
      <c r="I13" s="319"/>
    </row>
    <row r="14" spans="1:9" hidden="1">
      <c r="A14" s="317"/>
      <c r="B14" s="317"/>
      <c r="C14" s="317"/>
      <c r="D14" s="317"/>
      <c r="E14" s="318"/>
      <c r="F14" s="319"/>
      <c r="G14" s="319"/>
      <c r="H14" s="319"/>
      <c r="I14" s="319"/>
    </row>
    <row r="15" spans="1:9" hidden="1">
      <c r="A15" s="317"/>
      <c r="B15" s="317"/>
      <c r="C15" s="317"/>
      <c r="D15" s="317"/>
      <c r="E15" s="318"/>
      <c r="F15" s="319"/>
      <c r="G15" s="319"/>
      <c r="H15" s="319"/>
      <c r="I15" s="319"/>
    </row>
    <row r="16" spans="1:9" hidden="1">
      <c r="A16" s="317"/>
      <c r="B16" s="317"/>
      <c r="C16" s="317"/>
      <c r="D16" s="317"/>
      <c r="E16" s="318"/>
      <c r="F16" s="319"/>
      <c r="G16" s="319"/>
      <c r="H16" s="319"/>
      <c r="I16" s="319"/>
    </row>
    <row r="17" spans="1:10" hidden="1">
      <c r="A17" s="317"/>
      <c r="B17" s="317"/>
      <c r="C17" s="317"/>
      <c r="D17" s="317"/>
      <c r="E17" s="318"/>
      <c r="F17" s="319"/>
      <c r="G17" s="319"/>
      <c r="H17" s="319"/>
      <c r="I17" s="319"/>
    </row>
    <row r="18" spans="1:10">
      <c r="A18" s="317"/>
      <c r="B18" s="317"/>
      <c r="C18" s="317" t="s">
        <v>300</v>
      </c>
      <c r="D18" s="317" t="s">
        <v>286</v>
      </c>
      <c r="E18" s="318">
        <f>H18+I18</f>
        <v>3451.02</v>
      </c>
      <c r="F18" s="319"/>
      <c r="G18" s="319"/>
      <c r="H18" s="319"/>
      <c r="I18" s="319">
        <f>3551.02-100</f>
        <v>3451.02</v>
      </c>
    </row>
    <row r="19" spans="1:10">
      <c r="A19" s="317"/>
      <c r="B19" s="317"/>
      <c r="C19" s="317" t="s">
        <v>301</v>
      </c>
      <c r="D19" s="317"/>
      <c r="E19" s="318"/>
      <c r="F19" s="319"/>
      <c r="G19" s="319"/>
      <c r="H19" s="319"/>
      <c r="I19" s="319"/>
    </row>
    <row r="20" spans="1:10">
      <c r="A20" s="317"/>
      <c r="B20" s="317"/>
      <c r="C20" s="317" t="s">
        <v>302</v>
      </c>
      <c r="D20" s="317"/>
      <c r="E20" s="318"/>
      <c r="F20" s="319"/>
      <c r="G20" s="319"/>
      <c r="H20" s="319"/>
      <c r="I20" s="319"/>
    </row>
    <row r="21" spans="1:10">
      <c r="A21" s="317"/>
      <c r="B21" s="317"/>
      <c r="C21" s="317" t="s">
        <v>321</v>
      </c>
      <c r="D21" s="317" t="s">
        <v>266</v>
      </c>
      <c r="E21" s="318">
        <f>F21+G21</f>
        <v>4462400.87</v>
      </c>
      <c r="F21" s="319"/>
      <c r="G21" s="319">
        <f>4462400.87</f>
        <v>4462400.87</v>
      </c>
      <c r="H21" s="319"/>
      <c r="I21" s="319"/>
    </row>
    <row r="22" spans="1:10">
      <c r="A22" s="317"/>
      <c r="B22" s="317"/>
      <c r="C22" s="317" t="s">
        <v>322</v>
      </c>
      <c r="D22" s="317"/>
      <c r="E22" s="318"/>
      <c r="F22" s="319"/>
      <c r="G22" s="319"/>
      <c r="H22" s="319"/>
      <c r="I22" s="319"/>
    </row>
    <row r="23" spans="1:10" s="308" customFormat="1" ht="24.75" thickBot="1">
      <c r="A23" s="321"/>
      <c r="B23" s="321"/>
      <c r="C23" s="321" t="s">
        <v>216</v>
      </c>
      <c r="D23" s="332"/>
      <c r="E23" s="322">
        <f>SUM(E7:E22)</f>
        <v>6063641.2400000002</v>
      </c>
      <c r="F23" s="322">
        <f>SUM(F7:F22)</f>
        <v>1972.11</v>
      </c>
      <c r="G23" s="322">
        <f>SUM(G7:G22)</f>
        <v>6058218.1100000003</v>
      </c>
      <c r="H23" s="322">
        <f>SUM(H7:H20)</f>
        <v>0</v>
      </c>
      <c r="I23" s="322">
        <f>SUM(I7:I22)</f>
        <v>3451.02</v>
      </c>
      <c r="J23" s="334">
        <f>F23+G23+I23</f>
        <v>6063641.2400000002</v>
      </c>
    </row>
    <row r="24" spans="1:10" ht="12.75" customHeight="1" thickTop="1"/>
    <row r="25" spans="1:10">
      <c r="B25" s="325" t="s">
        <v>78</v>
      </c>
      <c r="F25" s="325" t="s">
        <v>80</v>
      </c>
    </row>
    <row r="26" spans="1:10">
      <c r="B26" s="326" t="s">
        <v>269</v>
      </c>
      <c r="F26" s="326" t="s">
        <v>270</v>
      </c>
    </row>
    <row r="27" spans="1:10" ht="9.75" customHeight="1"/>
    <row r="28" spans="1:10" s="328" customFormat="1" ht="21.75">
      <c r="A28" s="327" t="s">
        <v>168</v>
      </c>
      <c r="B28" s="328" t="s">
        <v>217</v>
      </c>
      <c r="E28" s="329"/>
      <c r="F28" s="330"/>
      <c r="G28" s="330"/>
      <c r="H28" s="330"/>
      <c r="I28" s="330"/>
    </row>
    <row r="29" spans="1:10" s="328" customFormat="1" ht="21.75">
      <c r="B29" s="328" t="s">
        <v>218</v>
      </c>
      <c r="E29" s="329" t="s">
        <v>219</v>
      </c>
      <c r="F29" s="330"/>
      <c r="G29" s="330"/>
      <c r="H29" s="330"/>
      <c r="I29" s="330"/>
    </row>
    <row r="30" spans="1:10" s="328" customFormat="1" ht="21.75">
      <c r="E30" s="329" t="s">
        <v>220</v>
      </c>
      <c r="F30" s="330"/>
      <c r="G30" s="330"/>
      <c r="H30" s="330"/>
      <c r="I30" s="330"/>
    </row>
    <row r="31" spans="1:10" s="328" customFormat="1" ht="21.75">
      <c r="B31" s="331" t="s">
        <v>221</v>
      </c>
      <c r="E31" s="329" t="s">
        <v>222</v>
      </c>
      <c r="F31" s="330"/>
      <c r="G31" s="330"/>
      <c r="H31" s="330"/>
      <c r="I31" s="330"/>
    </row>
    <row r="32" spans="1:10" s="328" customFormat="1" ht="21.75">
      <c r="B32" s="331"/>
      <c r="E32" s="329" t="s">
        <v>223</v>
      </c>
      <c r="F32" s="330"/>
      <c r="G32" s="330"/>
      <c r="H32" s="330"/>
      <c r="I32" s="330"/>
    </row>
    <row r="33" spans="2:9" s="328" customFormat="1" ht="21.75">
      <c r="B33" s="331" t="s">
        <v>224</v>
      </c>
      <c r="E33" s="329" t="s">
        <v>225</v>
      </c>
      <c r="F33" s="330"/>
      <c r="G33" s="330"/>
      <c r="H33" s="330"/>
      <c r="I33" s="330"/>
    </row>
    <row r="34" spans="2:9" s="328" customFormat="1" ht="21.75">
      <c r="B34" s="331" t="s">
        <v>226</v>
      </c>
      <c r="E34" s="329" t="s">
        <v>227</v>
      </c>
      <c r="F34" s="330"/>
      <c r="G34" s="330"/>
      <c r="H34" s="330"/>
      <c r="I34" s="330"/>
    </row>
    <row r="35" spans="2:9" s="328" customFormat="1" ht="21.75">
      <c r="E35" s="329"/>
      <c r="F35" s="330"/>
      <c r="G35" s="330"/>
      <c r="H35" s="330"/>
      <c r="I35" s="330"/>
    </row>
  </sheetData>
  <mergeCells count="10">
    <mergeCell ref="A1:I1"/>
    <mergeCell ref="A2:I2"/>
    <mergeCell ref="A3:I3"/>
    <mergeCell ref="A5:A6"/>
    <mergeCell ref="B5:B6"/>
    <mergeCell ref="C5:C6"/>
    <mergeCell ref="D5:D6"/>
    <mergeCell ref="E5:E6"/>
    <mergeCell ref="F5:G5"/>
    <mergeCell ref="H5:I5"/>
  </mergeCells>
  <pageMargins left="0.3" right="0" top="0.5" bottom="0" header="0.3" footer="0.3"/>
  <pageSetup paperSize="9" scale="86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5" tint="-0.249977111117893"/>
  </sheetPr>
  <dimension ref="A1:K103"/>
  <sheetViews>
    <sheetView zoomScale="110" zoomScaleNormal="110" workbookViewId="0">
      <selection activeCell="H41" sqref="H41"/>
    </sheetView>
  </sheetViews>
  <sheetFormatPr defaultColWidth="9" defaultRowHeight="21.75"/>
  <cols>
    <col min="1" max="1" width="13" style="11" customWidth="1"/>
    <col min="2" max="2" width="13.5703125" style="12" customWidth="1"/>
    <col min="3" max="3" width="50" style="12" customWidth="1"/>
    <col min="4" max="4" width="22.28515625" style="13" customWidth="1"/>
    <col min="5" max="5" width="23.7109375" style="13" customWidth="1"/>
    <col min="6" max="6" width="7.5703125" style="12" customWidth="1"/>
    <col min="7" max="7" width="2.5703125" style="14" customWidth="1"/>
    <col min="8" max="8" width="9.140625" style="14" customWidth="1"/>
    <col min="9" max="9" width="2" style="12" customWidth="1"/>
    <col min="10" max="10" width="20.85546875" style="12" customWidth="1"/>
    <col min="11" max="11" width="64.5703125" style="12" customWidth="1"/>
    <col min="12" max="16384" width="9" style="12"/>
  </cols>
  <sheetData>
    <row r="1" spans="1:11">
      <c r="H1" s="41" t="s">
        <v>43</v>
      </c>
    </row>
    <row r="2" spans="1:11" s="10" customFormat="1" ht="24">
      <c r="A2" s="476" t="s">
        <v>175</v>
      </c>
      <c r="B2" s="476"/>
      <c r="C2" s="476"/>
      <c r="D2" s="476"/>
      <c r="E2" s="476"/>
      <c r="G2" s="42" t="s">
        <v>42</v>
      </c>
      <c r="H2" s="43" t="str">
        <f>IF(G2&lt;&gt;"",G2,IF(AND(A2="",B2="",C2="",D2="",E2=""),"No","Yes"))</f>
        <v>Yes</v>
      </c>
      <c r="I2" s="44"/>
    </row>
    <row r="3" spans="1:11" s="10" customFormat="1" ht="24">
      <c r="A3" s="476" t="s">
        <v>234</v>
      </c>
      <c r="B3" s="476"/>
      <c r="C3" s="476"/>
      <c r="D3" s="476"/>
      <c r="E3" s="476"/>
      <c r="G3" s="42" t="s">
        <v>42</v>
      </c>
      <c r="H3" s="43" t="str">
        <f t="shared" ref="H3:H66" si="0">IF(G3&lt;&gt;"",G3,IF(AND(A3="",B3="",C3="",D3="",E3=""),"No","Yes"))</f>
        <v>Yes</v>
      </c>
      <c r="I3" s="44"/>
      <c r="J3" s="477" t="s">
        <v>176</v>
      </c>
      <c r="K3" s="478"/>
    </row>
    <row r="4" spans="1:11" s="10" customFormat="1" ht="24">
      <c r="A4" s="476" t="s">
        <v>233</v>
      </c>
      <c r="B4" s="476"/>
      <c r="C4" s="476"/>
      <c r="D4" s="476"/>
      <c r="E4" s="476"/>
      <c r="G4" s="42" t="s">
        <v>42</v>
      </c>
      <c r="H4" s="43" t="str">
        <f t="shared" si="0"/>
        <v>Yes</v>
      </c>
      <c r="I4" s="44"/>
      <c r="J4" s="2" t="s">
        <v>178</v>
      </c>
      <c r="K4" s="3">
        <v>43040</v>
      </c>
    </row>
    <row r="5" spans="1:11" s="10" customFormat="1" ht="24">
      <c r="A5" s="476" t="s">
        <v>235</v>
      </c>
      <c r="B5" s="476"/>
      <c r="C5" s="476"/>
      <c r="D5" s="476"/>
      <c r="E5" s="476"/>
      <c r="G5" s="42" t="s">
        <v>42</v>
      </c>
      <c r="H5" s="43" t="str">
        <f t="shared" si="0"/>
        <v>Yes</v>
      </c>
      <c r="I5" s="44"/>
      <c r="J5" s="4" t="s">
        <v>180</v>
      </c>
      <c r="K5" s="5" t="s">
        <v>181</v>
      </c>
    </row>
    <row r="6" spans="1:11" s="10" customFormat="1" ht="24">
      <c r="A6" s="84"/>
      <c r="B6" s="83"/>
      <c r="C6" s="479" t="s">
        <v>182</v>
      </c>
      <c r="D6" s="479"/>
      <c r="G6" s="42" t="s">
        <v>42</v>
      </c>
      <c r="H6" s="43" t="str">
        <f t="shared" si="0"/>
        <v>Yes</v>
      </c>
      <c r="I6" s="44"/>
      <c r="J6" s="4" t="s">
        <v>183</v>
      </c>
      <c r="K6" s="6">
        <f>IF(K5="KRUNGTHAI PLC.",IF(C6="แหล่งเงินงบประมาณ",3856001840,IF(C6="แหล่งเงินกองทุน",3850034186,"")),IF(K5="KASIKORNTHAI PLC.","",""))</f>
        <v>3856001840</v>
      </c>
    </row>
    <row r="7" spans="1:11">
      <c r="G7" s="42" t="s">
        <v>42</v>
      </c>
      <c r="H7" s="43" t="str">
        <f t="shared" si="0"/>
        <v>Yes</v>
      </c>
      <c r="J7" s="4" t="s">
        <v>184</v>
      </c>
      <c r="K7" s="7" t="s">
        <v>185</v>
      </c>
    </row>
    <row r="8" spans="1:11" ht="24" customHeight="1">
      <c r="B8" s="12" t="s">
        <v>186</v>
      </c>
      <c r="C8" s="15" t="s">
        <v>187</v>
      </c>
      <c r="D8" s="13" t="s">
        <v>188</v>
      </c>
      <c r="E8" s="45" t="s">
        <v>231</v>
      </c>
      <c r="G8" s="42" t="s">
        <v>42</v>
      </c>
      <c r="H8" s="43" t="str">
        <f t="shared" si="0"/>
        <v>Yes</v>
      </c>
      <c r="J8" s="4" t="s">
        <v>189</v>
      </c>
      <c r="K8" s="6" t="str">
        <f>IF(K5="KRUNGTHAI PLC.","KRTHTHBK",IF(K5="KASIKORNTHAI PLC.","KASITHBK",""))</f>
        <v>KRTHTHBK</v>
      </c>
    </row>
    <row r="9" spans="1:11" ht="27" customHeight="1">
      <c r="A9" s="482" t="s">
        <v>45</v>
      </c>
      <c r="B9" s="484" t="s">
        <v>90</v>
      </c>
      <c r="C9" s="484" t="s">
        <v>190</v>
      </c>
      <c r="D9" s="480" t="str">
        <f>C6</f>
        <v>แหล่งเงินงบประมาณ</v>
      </c>
      <c r="E9" s="481"/>
      <c r="G9" s="42" t="s">
        <v>42</v>
      </c>
      <c r="H9" s="43" t="str">
        <f t="shared" si="0"/>
        <v>Yes</v>
      </c>
      <c r="J9" s="4" t="s">
        <v>191</v>
      </c>
      <c r="K9" s="8" t="str">
        <f>D10</f>
        <v>USD</v>
      </c>
    </row>
    <row r="10" spans="1:11" ht="27" customHeight="1">
      <c r="A10" s="483"/>
      <c r="B10" s="485"/>
      <c r="C10" s="485"/>
      <c r="D10" s="17" t="str">
        <f>'1. ทะเบียนคุมรับ-จ่าย'!H8</f>
        <v>USD</v>
      </c>
      <c r="E10" s="46" t="s">
        <v>192</v>
      </c>
      <c r="G10" s="42" t="s">
        <v>42</v>
      </c>
      <c r="H10" s="43" t="str">
        <f t="shared" si="0"/>
        <v>Yes</v>
      </c>
      <c r="J10" s="4" t="s">
        <v>193</v>
      </c>
      <c r="K10" s="47">
        <f>D76</f>
        <v>0</v>
      </c>
    </row>
    <row r="11" spans="1:11">
      <c r="A11" s="18"/>
      <c r="B11" s="19"/>
      <c r="C11" s="20" t="s">
        <v>64</v>
      </c>
      <c r="D11" s="23">
        <f>SUM(D12:D26)</f>
        <v>0</v>
      </c>
      <c r="E11" s="23">
        <f>SUM(E12:E26)</f>
        <v>0</v>
      </c>
      <c r="G11" s="42" t="s">
        <v>42</v>
      </c>
      <c r="H11" s="43" t="str">
        <f t="shared" si="0"/>
        <v>Yes</v>
      </c>
      <c r="J11" s="4" t="s">
        <v>194</v>
      </c>
      <c r="K11" s="6" t="str">
        <f>C8&amp;" ("&amp;E8&amp;")"</f>
        <v>0901.3/ (OR2233063)</v>
      </c>
    </row>
    <row r="12" spans="1:11">
      <c r="A12" s="24"/>
      <c r="B12" s="25"/>
      <c r="C12" s="25"/>
      <c r="D12" s="28"/>
      <c r="E12" s="28"/>
      <c r="G12" s="42" t="s">
        <v>42</v>
      </c>
      <c r="H12" s="43" t="str">
        <f t="shared" si="0"/>
        <v>Yes</v>
      </c>
    </row>
    <row r="13" spans="1:11">
      <c r="A13" s="24"/>
      <c r="B13" s="25"/>
      <c r="C13" s="25"/>
      <c r="D13" s="28"/>
      <c r="E13" s="28"/>
      <c r="G13" s="42" t="s">
        <v>42</v>
      </c>
      <c r="H13" s="43" t="str">
        <f t="shared" si="0"/>
        <v>Yes</v>
      </c>
    </row>
    <row r="14" spans="1:11">
      <c r="A14" s="24"/>
      <c r="B14" s="25"/>
      <c r="C14" s="25"/>
      <c r="D14" s="28"/>
      <c r="E14" s="28"/>
      <c r="G14" s="42" t="s">
        <v>42</v>
      </c>
      <c r="H14" s="43" t="str">
        <f t="shared" si="0"/>
        <v>Yes</v>
      </c>
    </row>
    <row r="15" spans="1:11">
      <c r="A15" s="24"/>
      <c r="B15" s="25"/>
      <c r="C15" s="25"/>
      <c r="D15" s="28"/>
      <c r="E15" s="28"/>
      <c r="H15" s="43" t="str">
        <f t="shared" si="0"/>
        <v>No</v>
      </c>
    </row>
    <row r="16" spans="1:11">
      <c r="A16" s="24"/>
      <c r="B16" s="25"/>
      <c r="C16" s="25"/>
      <c r="D16" s="28"/>
      <c r="E16" s="28"/>
      <c r="H16" s="43" t="str">
        <f t="shared" si="0"/>
        <v>No</v>
      </c>
    </row>
    <row r="17" spans="1:8" hidden="1">
      <c r="A17" s="24"/>
      <c r="B17" s="25"/>
      <c r="C17" s="25"/>
      <c r="D17" s="28"/>
      <c r="E17" s="28"/>
      <c r="H17" s="43" t="str">
        <f t="shared" si="0"/>
        <v>No</v>
      </c>
    </row>
    <row r="18" spans="1:8" hidden="1">
      <c r="A18" s="24"/>
      <c r="B18" s="25"/>
      <c r="C18" s="25"/>
      <c r="D18" s="28"/>
      <c r="E18" s="28"/>
      <c r="H18" s="43" t="str">
        <f t="shared" si="0"/>
        <v>No</v>
      </c>
    </row>
    <row r="19" spans="1:8" hidden="1">
      <c r="A19" s="24"/>
      <c r="B19" s="25"/>
      <c r="C19" s="25"/>
      <c r="D19" s="28"/>
      <c r="E19" s="28"/>
      <c r="H19" s="43" t="str">
        <f t="shared" si="0"/>
        <v>No</v>
      </c>
    </row>
    <row r="20" spans="1:8" hidden="1">
      <c r="A20" s="24"/>
      <c r="B20" s="25"/>
      <c r="C20" s="25"/>
      <c r="D20" s="28"/>
      <c r="E20" s="28"/>
      <c r="H20" s="43" t="str">
        <f t="shared" si="0"/>
        <v>No</v>
      </c>
    </row>
    <row r="21" spans="1:8" hidden="1">
      <c r="A21" s="24"/>
      <c r="B21" s="25"/>
      <c r="C21" s="25"/>
      <c r="D21" s="28"/>
      <c r="E21" s="28"/>
      <c r="H21" s="43" t="str">
        <f t="shared" si="0"/>
        <v>No</v>
      </c>
    </row>
    <row r="22" spans="1:8" hidden="1">
      <c r="A22" s="24"/>
      <c r="B22" s="25"/>
      <c r="C22" s="25"/>
      <c r="D22" s="28"/>
      <c r="E22" s="28"/>
      <c r="H22" s="43" t="str">
        <f t="shared" si="0"/>
        <v>No</v>
      </c>
    </row>
    <row r="23" spans="1:8" hidden="1">
      <c r="A23" s="24"/>
      <c r="B23" s="25"/>
      <c r="C23" s="25"/>
      <c r="D23" s="28"/>
      <c r="E23" s="28"/>
      <c r="H23" s="43" t="str">
        <f t="shared" si="0"/>
        <v>No</v>
      </c>
    </row>
    <row r="24" spans="1:8" hidden="1">
      <c r="A24" s="24"/>
      <c r="B24" s="25"/>
      <c r="C24" s="25"/>
      <c r="D24" s="28"/>
      <c r="E24" s="28"/>
      <c r="H24" s="43" t="str">
        <f t="shared" si="0"/>
        <v>No</v>
      </c>
    </row>
    <row r="25" spans="1:8" hidden="1">
      <c r="A25" s="24"/>
      <c r="B25" s="25"/>
      <c r="C25" s="25"/>
      <c r="D25" s="28"/>
      <c r="E25" s="28"/>
      <c r="H25" s="43" t="str">
        <f t="shared" si="0"/>
        <v>No</v>
      </c>
    </row>
    <row r="26" spans="1:8" hidden="1">
      <c r="A26" s="24"/>
      <c r="B26" s="25"/>
      <c r="C26" s="25"/>
      <c r="D26" s="28"/>
      <c r="E26" s="28"/>
      <c r="H26" s="43" t="str">
        <f t="shared" si="0"/>
        <v>No</v>
      </c>
    </row>
    <row r="27" spans="1:8">
      <c r="A27" s="29"/>
      <c r="B27" s="30"/>
      <c r="C27" s="31" t="s">
        <v>65</v>
      </c>
      <c r="D27" s="34">
        <f>SUM(D28:D42)</f>
        <v>0</v>
      </c>
      <c r="E27" s="34">
        <f>SUM(E28:E42)</f>
        <v>0</v>
      </c>
      <c r="G27" s="42" t="s">
        <v>42</v>
      </c>
      <c r="H27" s="43" t="str">
        <f t="shared" si="0"/>
        <v>Yes</v>
      </c>
    </row>
    <row r="28" spans="1:8">
      <c r="A28" s="24"/>
      <c r="B28" s="25"/>
      <c r="C28" s="25"/>
      <c r="D28" s="28"/>
      <c r="E28" s="28"/>
      <c r="G28" s="42" t="s">
        <v>42</v>
      </c>
      <c r="H28" s="43" t="str">
        <f t="shared" si="0"/>
        <v>Yes</v>
      </c>
    </row>
    <row r="29" spans="1:8">
      <c r="A29" s="24"/>
      <c r="B29" s="25"/>
      <c r="C29" s="25"/>
      <c r="D29" s="28"/>
      <c r="E29" s="28"/>
      <c r="G29" s="42" t="s">
        <v>42</v>
      </c>
      <c r="H29" s="43" t="str">
        <f t="shared" si="0"/>
        <v>Yes</v>
      </c>
    </row>
    <row r="30" spans="1:8" hidden="1">
      <c r="A30" s="24"/>
      <c r="B30" s="25"/>
      <c r="C30" s="25"/>
      <c r="D30" s="28"/>
      <c r="E30" s="28"/>
      <c r="G30" s="42" t="s">
        <v>42</v>
      </c>
      <c r="H30" s="43" t="str">
        <f t="shared" si="0"/>
        <v>Yes</v>
      </c>
    </row>
    <row r="31" spans="1:8" hidden="1">
      <c r="A31" s="24"/>
      <c r="B31" s="25"/>
      <c r="C31" s="25"/>
      <c r="D31" s="28"/>
      <c r="E31" s="28"/>
      <c r="H31" s="43" t="str">
        <f t="shared" si="0"/>
        <v>No</v>
      </c>
    </row>
    <row r="32" spans="1:8" hidden="1">
      <c r="A32" s="24"/>
      <c r="B32" s="25"/>
      <c r="C32" s="25"/>
      <c r="D32" s="28"/>
      <c r="E32" s="28"/>
      <c r="H32" s="43" t="str">
        <f t="shared" si="0"/>
        <v>No</v>
      </c>
    </row>
    <row r="33" spans="1:8" hidden="1">
      <c r="A33" s="24"/>
      <c r="B33" s="25"/>
      <c r="C33" s="25"/>
      <c r="D33" s="28"/>
      <c r="E33" s="28"/>
      <c r="H33" s="43" t="str">
        <f t="shared" si="0"/>
        <v>No</v>
      </c>
    </row>
    <row r="34" spans="1:8" hidden="1">
      <c r="A34" s="24"/>
      <c r="B34" s="25"/>
      <c r="C34" s="25"/>
      <c r="D34" s="28"/>
      <c r="E34" s="28"/>
      <c r="H34" s="43" t="str">
        <f t="shared" si="0"/>
        <v>No</v>
      </c>
    </row>
    <row r="35" spans="1:8" hidden="1">
      <c r="A35" s="24"/>
      <c r="B35" s="25"/>
      <c r="C35" s="25"/>
      <c r="D35" s="28"/>
      <c r="E35" s="28"/>
      <c r="H35" s="43" t="str">
        <f t="shared" si="0"/>
        <v>No</v>
      </c>
    </row>
    <row r="36" spans="1:8" hidden="1">
      <c r="A36" s="24"/>
      <c r="B36" s="25"/>
      <c r="C36" s="25"/>
      <c r="D36" s="28"/>
      <c r="E36" s="28"/>
      <c r="H36" s="43" t="str">
        <f t="shared" si="0"/>
        <v>No</v>
      </c>
    </row>
    <row r="37" spans="1:8" hidden="1">
      <c r="A37" s="24"/>
      <c r="B37" s="25"/>
      <c r="C37" s="25"/>
      <c r="D37" s="28"/>
      <c r="E37" s="28"/>
      <c r="H37" s="43" t="str">
        <f t="shared" si="0"/>
        <v>No</v>
      </c>
    </row>
    <row r="38" spans="1:8" hidden="1">
      <c r="A38" s="24"/>
      <c r="B38" s="25"/>
      <c r="C38" s="25"/>
      <c r="D38" s="28"/>
      <c r="E38" s="28"/>
      <c r="H38" s="43" t="str">
        <f t="shared" si="0"/>
        <v>No</v>
      </c>
    </row>
    <row r="39" spans="1:8" hidden="1">
      <c r="A39" s="24"/>
      <c r="B39" s="25"/>
      <c r="C39" s="25"/>
      <c r="D39" s="28"/>
      <c r="E39" s="28"/>
      <c r="H39" s="43" t="str">
        <f t="shared" si="0"/>
        <v>No</v>
      </c>
    </row>
    <row r="40" spans="1:8" hidden="1">
      <c r="A40" s="24"/>
      <c r="B40" s="25"/>
      <c r="C40" s="25"/>
      <c r="D40" s="28"/>
      <c r="E40" s="28"/>
      <c r="H40" s="43" t="str">
        <f t="shared" si="0"/>
        <v>No</v>
      </c>
    </row>
    <row r="41" spans="1:8">
      <c r="A41" s="24"/>
      <c r="B41" s="25"/>
      <c r="C41" s="25"/>
      <c r="D41" s="28"/>
      <c r="E41" s="28"/>
      <c r="H41" s="43" t="str">
        <f t="shared" si="0"/>
        <v>No</v>
      </c>
    </row>
    <row r="42" spans="1:8">
      <c r="A42" s="24"/>
      <c r="B42" s="25"/>
      <c r="C42" s="25"/>
      <c r="D42" s="28"/>
      <c r="E42" s="28"/>
      <c r="H42" s="43" t="str">
        <f t="shared" si="0"/>
        <v>No</v>
      </c>
    </row>
    <row r="43" spans="1:8">
      <c r="A43" s="29"/>
      <c r="B43" s="30"/>
      <c r="C43" s="31" t="s">
        <v>67</v>
      </c>
      <c r="D43" s="34">
        <f>SUM(D44:D63)</f>
        <v>0</v>
      </c>
      <c r="E43" s="34">
        <f>SUM(E44:E63)</f>
        <v>0</v>
      </c>
      <c r="G43" s="42" t="s">
        <v>42</v>
      </c>
      <c r="H43" s="43" t="str">
        <f t="shared" si="0"/>
        <v>Yes</v>
      </c>
    </row>
    <row r="44" spans="1:8">
      <c r="A44" s="24"/>
      <c r="B44" s="25"/>
      <c r="C44" s="25"/>
      <c r="D44" s="28"/>
      <c r="E44" s="28"/>
      <c r="G44" s="42" t="s">
        <v>42</v>
      </c>
      <c r="H44" s="43" t="str">
        <f t="shared" si="0"/>
        <v>Yes</v>
      </c>
    </row>
    <row r="45" spans="1:8">
      <c r="A45" s="24"/>
      <c r="B45" s="25"/>
      <c r="C45" s="25"/>
      <c r="D45" s="28"/>
      <c r="E45" s="28"/>
      <c r="G45" s="42" t="s">
        <v>42</v>
      </c>
      <c r="H45" s="43" t="str">
        <f t="shared" si="0"/>
        <v>Yes</v>
      </c>
    </row>
    <row r="46" spans="1:8">
      <c r="A46" s="24"/>
      <c r="B46" s="25"/>
      <c r="C46" s="25"/>
      <c r="D46" s="28"/>
      <c r="E46" s="28"/>
      <c r="G46" s="42" t="s">
        <v>42</v>
      </c>
      <c r="H46" s="43" t="str">
        <f t="shared" si="0"/>
        <v>Yes</v>
      </c>
    </row>
    <row r="47" spans="1:8">
      <c r="A47" s="24"/>
      <c r="B47" s="25"/>
      <c r="C47" s="25"/>
      <c r="D47" s="28"/>
      <c r="E47" s="28"/>
      <c r="H47" s="43" t="str">
        <f t="shared" si="0"/>
        <v>No</v>
      </c>
    </row>
    <row r="48" spans="1:8">
      <c r="A48" s="24"/>
      <c r="B48" s="25"/>
      <c r="C48" s="25"/>
      <c r="D48" s="28"/>
      <c r="E48" s="28"/>
      <c r="H48" s="43" t="str">
        <f t="shared" si="0"/>
        <v>No</v>
      </c>
    </row>
    <row r="49" spans="1:8">
      <c r="A49" s="24"/>
      <c r="B49" s="25"/>
      <c r="C49" s="25"/>
      <c r="D49" s="28"/>
      <c r="E49" s="28"/>
      <c r="H49" s="43" t="str">
        <f t="shared" si="0"/>
        <v>No</v>
      </c>
    </row>
    <row r="50" spans="1:8">
      <c r="A50" s="24"/>
      <c r="B50" s="25"/>
      <c r="C50" s="25"/>
      <c r="D50" s="28"/>
      <c r="E50" s="28"/>
      <c r="H50" s="43" t="str">
        <f t="shared" si="0"/>
        <v>No</v>
      </c>
    </row>
    <row r="51" spans="1:8" hidden="1">
      <c r="A51" s="24"/>
      <c r="B51" s="25"/>
      <c r="C51" s="25"/>
      <c r="D51" s="28"/>
      <c r="E51" s="28"/>
      <c r="H51" s="43" t="str">
        <f t="shared" si="0"/>
        <v>No</v>
      </c>
    </row>
    <row r="52" spans="1:8" hidden="1">
      <c r="A52" s="24"/>
      <c r="B52" s="25"/>
      <c r="C52" s="25"/>
      <c r="D52" s="28"/>
      <c r="E52" s="28"/>
      <c r="H52" s="43" t="str">
        <f t="shared" si="0"/>
        <v>No</v>
      </c>
    </row>
    <row r="53" spans="1:8" hidden="1">
      <c r="A53" s="24"/>
      <c r="B53" s="25"/>
      <c r="C53" s="25"/>
      <c r="D53" s="28"/>
      <c r="E53" s="28"/>
      <c r="H53" s="43" t="str">
        <f t="shared" si="0"/>
        <v>No</v>
      </c>
    </row>
    <row r="54" spans="1:8" hidden="1">
      <c r="A54" s="24"/>
      <c r="B54" s="25"/>
      <c r="C54" s="25"/>
      <c r="D54" s="28"/>
      <c r="E54" s="28"/>
      <c r="H54" s="43" t="str">
        <f t="shared" si="0"/>
        <v>No</v>
      </c>
    </row>
    <row r="55" spans="1:8" hidden="1">
      <c r="A55" s="24"/>
      <c r="B55" s="25"/>
      <c r="C55" s="25"/>
      <c r="D55" s="28"/>
      <c r="E55" s="28"/>
      <c r="H55" s="43" t="str">
        <f t="shared" si="0"/>
        <v>No</v>
      </c>
    </row>
    <row r="56" spans="1:8" hidden="1">
      <c r="A56" s="24"/>
      <c r="B56" s="25"/>
      <c r="C56" s="25"/>
      <c r="D56" s="28"/>
      <c r="E56" s="28"/>
      <c r="H56" s="43" t="str">
        <f t="shared" si="0"/>
        <v>No</v>
      </c>
    </row>
    <row r="57" spans="1:8" hidden="1">
      <c r="A57" s="24"/>
      <c r="B57" s="25"/>
      <c r="C57" s="25"/>
      <c r="D57" s="28"/>
      <c r="E57" s="28"/>
      <c r="H57" s="43" t="str">
        <f t="shared" si="0"/>
        <v>No</v>
      </c>
    </row>
    <row r="58" spans="1:8" hidden="1">
      <c r="A58" s="24"/>
      <c r="B58" s="25"/>
      <c r="C58" s="25"/>
      <c r="D58" s="28"/>
      <c r="E58" s="28"/>
      <c r="H58" s="43" t="str">
        <f t="shared" si="0"/>
        <v>No</v>
      </c>
    </row>
    <row r="59" spans="1:8" hidden="1">
      <c r="A59" s="24"/>
      <c r="B59" s="25"/>
      <c r="C59" s="25"/>
      <c r="D59" s="28"/>
      <c r="E59" s="28"/>
      <c r="H59" s="43" t="str">
        <f t="shared" si="0"/>
        <v>No</v>
      </c>
    </row>
    <row r="60" spans="1:8" hidden="1">
      <c r="A60" s="24"/>
      <c r="B60" s="25"/>
      <c r="C60" s="25"/>
      <c r="D60" s="28"/>
      <c r="E60" s="28"/>
      <c r="H60" s="43" t="str">
        <f t="shared" si="0"/>
        <v>No</v>
      </c>
    </row>
    <row r="61" spans="1:8" hidden="1">
      <c r="A61" s="24"/>
      <c r="B61" s="25"/>
      <c r="C61" s="25"/>
      <c r="D61" s="28"/>
      <c r="E61" s="28"/>
      <c r="H61" s="43" t="str">
        <f t="shared" si="0"/>
        <v>No</v>
      </c>
    </row>
    <row r="62" spans="1:8" hidden="1">
      <c r="A62" s="24"/>
      <c r="B62" s="25"/>
      <c r="C62" s="25"/>
      <c r="D62" s="28"/>
      <c r="E62" s="28"/>
      <c r="H62" s="43" t="str">
        <f t="shared" si="0"/>
        <v>No</v>
      </c>
    </row>
    <row r="63" spans="1:8">
      <c r="A63" s="24"/>
      <c r="B63" s="25"/>
      <c r="C63" s="25"/>
      <c r="D63" s="28"/>
      <c r="E63" s="28"/>
      <c r="H63" s="43" t="str">
        <f t="shared" si="0"/>
        <v>No</v>
      </c>
    </row>
    <row r="64" spans="1:8" ht="24">
      <c r="A64" s="35"/>
      <c r="B64" s="36"/>
      <c r="C64" s="37" t="s">
        <v>68</v>
      </c>
      <c r="D64" s="40">
        <f>D11+D27-D43</f>
        <v>0</v>
      </c>
      <c r="E64" s="40">
        <f>E11+E27-E43</f>
        <v>0</v>
      </c>
      <c r="G64" s="42" t="s">
        <v>42</v>
      </c>
      <c r="H64" s="43" t="str">
        <f t="shared" si="0"/>
        <v>Yes</v>
      </c>
    </row>
    <row r="65" spans="1:8">
      <c r="A65" s="29"/>
      <c r="B65" s="30"/>
      <c r="C65" s="31" t="s">
        <v>69</v>
      </c>
      <c r="D65" s="34">
        <f>SUM(D66:D75)</f>
        <v>0</v>
      </c>
      <c r="E65" s="34">
        <f>SUM(E66:E75)</f>
        <v>0</v>
      </c>
      <c r="G65" s="42" t="s">
        <v>42</v>
      </c>
      <c r="H65" s="43" t="str">
        <f t="shared" si="0"/>
        <v>Yes</v>
      </c>
    </row>
    <row r="66" spans="1:8">
      <c r="A66" s="24"/>
      <c r="B66" s="25"/>
      <c r="C66" s="25"/>
      <c r="D66" s="28"/>
      <c r="E66" s="28"/>
      <c r="G66" s="42" t="s">
        <v>42</v>
      </c>
      <c r="H66" s="43" t="str">
        <f t="shared" si="0"/>
        <v>Yes</v>
      </c>
    </row>
    <row r="67" spans="1:8">
      <c r="A67" s="24"/>
      <c r="B67" s="25"/>
      <c r="C67" s="25"/>
      <c r="D67" s="28"/>
      <c r="E67" s="28"/>
      <c r="G67" s="42" t="s">
        <v>42</v>
      </c>
      <c r="H67" s="43" t="str">
        <f t="shared" ref="H67:H103" si="1">IF(G67&lt;&gt;"",G67,IF(AND(A67="",B67="",C67="",D67="",E67=""),"No","Yes"))</f>
        <v>Yes</v>
      </c>
    </row>
    <row r="68" spans="1:8">
      <c r="A68" s="24"/>
      <c r="B68" s="25"/>
      <c r="C68" s="25"/>
      <c r="D68" s="28"/>
      <c r="E68" s="28"/>
      <c r="G68" s="42" t="s">
        <v>42</v>
      </c>
      <c r="H68" s="43" t="str">
        <f t="shared" si="1"/>
        <v>Yes</v>
      </c>
    </row>
    <row r="69" spans="1:8" hidden="1">
      <c r="A69" s="24"/>
      <c r="B69" s="25"/>
      <c r="C69" s="25"/>
      <c r="D69" s="28"/>
      <c r="E69" s="28"/>
      <c r="H69" s="43" t="str">
        <f t="shared" si="1"/>
        <v>No</v>
      </c>
    </row>
    <row r="70" spans="1:8" hidden="1">
      <c r="A70" s="24"/>
      <c r="B70" s="25"/>
      <c r="C70" s="25"/>
      <c r="D70" s="28"/>
      <c r="E70" s="28"/>
      <c r="H70" s="43" t="str">
        <f t="shared" si="1"/>
        <v>No</v>
      </c>
    </row>
    <row r="71" spans="1:8" hidden="1">
      <c r="A71" s="24"/>
      <c r="B71" s="25"/>
      <c r="C71" s="25"/>
      <c r="D71" s="28"/>
      <c r="E71" s="28"/>
      <c r="H71" s="43" t="str">
        <f t="shared" si="1"/>
        <v>No</v>
      </c>
    </row>
    <row r="72" spans="1:8" hidden="1">
      <c r="A72" s="24"/>
      <c r="B72" s="25"/>
      <c r="C72" s="25"/>
      <c r="D72" s="28"/>
      <c r="E72" s="28"/>
      <c r="H72" s="43" t="str">
        <f t="shared" si="1"/>
        <v>No</v>
      </c>
    </row>
    <row r="73" spans="1:8" hidden="1">
      <c r="A73" s="24"/>
      <c r="B73" s="25"/>
      <c r="C73" s="25"/>
      <c r="D73" s="28"/>
      <c r="E73" s="28"/>
      <c r="H73" s="43" t="str">
        <f t="shared" si="1"/>
        <v>No</v>
      </c>
    </row>
    <row r="74" spans="1:8" hidden="1">
      <c r="A74" s="24"/>
      <c r="B74" s="25"/>
      <c r="C74" s="25"/>
      <c r="D74" s="28"/>
      <c r="E74" s="28"/>
      <c r="H74" s="43" t="str">
        <f t="shared" si="1"/>
        <v>No</v>
      </c>
    </row>
    <row r="75" spans="1:8">
      <c r="A75" s="24"/>
      <c r="B75" s="25"/>
      <c r="C75" s="25"/>
      <c r="D75" s="28"/>
      <c r="E75" s="28"/>
      <c r="H75" s="43" t="str">
        <f t="shared" si="1"/>
        <v>No</v>
      </c>
    </row>
    <row r="76" spans="1:8">
      <c r="A76" s="29"/>
      <c r="B76" s="30"/>
      <c r="C76" s="31" t="s">
        <v>70</v>
      </c>
      <c r="D76" s="34">
        <f>SUM(D77:D88)</f>
        <v>0</v>
      </c>
      <c r="E76" s="34">
        <f>SUM(E77:E88)</f>
        <v>0</v>
      </c>
      <c r="G76" s="42" t="s">
        <v>42</v>
      </c>
      <c r="H76" s="43" t="str">
        <f t="shared" si="1"/>
        <v>Yes</v>
      </c>
    </row>
    <row r="77" spans="1:8">
      <c r="A77" s="24"/>
      <c r="B77" s="25"/>
      <c r="C77" s="25"/>
      <c r="D77" s="28"/>
      <c r="E77" s="28"/>
      <c r="G77" s="42" t="s">
        <v>42</v>
      </c>
      <c r="H77" s="43" t="str">
        <f t="shared" si="1"/>
        <v>Yes</v>
      </c>
    </row>
    <row r="78" spans="1:8">
      <c r="A78" s="24"/>
      <c r="B78" s="25"/>
      <c r="C78" s="25"/>
      <c r="D78" s="28"/>
      <c r="E78" s="28"/>
      <c r="G78" s="42" t="s">
        <v>42</v>
      </c>
      <c r="H78" s="43" t="str">
        <f t="shared" si="1"/>
        <v>Yes</v>
      </c>
    </row>
    <row r="79" spans="1:8">
      <c r="A79" s="24"/>
      <c r="B79" s="25"/>
      <c r="C79" s="25"/>
      <c r="D79" s="28"/>
      <c r="E79" s="28"/>
      <c r="G79" s="42" t="s">
        <v>42</v>
      </c>
      <c r="H79" s="43" t="str">
        <f t="shared" si="1"/>
        <v>Yes</v>
      </c>
    </row>
    <row r="80" spans="1:8" hidden="1">
      <c r="A80" s="24"/>
      <c r="B80" s="25"/>
      <c r="C80" s="25"/>
      <c r="D80" s="28"/>
      <c r="E80" s="28"/>
      <c r="H80" s="43" t="str">
        <f t="shared" si="1"/>
        <v>No</v>
      </c>
    </row>
    <row r="81" spans="1:8" hidden="1">
      <c r="A81" s="24"/>
      <c r="B81" s="25"/>
      <c r="C81" s="25"/>
      <c r="D81" s="28"/>
      <c r="E81" s="28"/>
      <c r="H81" s="43" t="str">
        <f t="shared" si="1"/>
        <v>No</v>
      </c>
    </row>
    <row r="82" spans="1:8" hidden="1">
      <c r="A82" s="24"/>
      <c r="B82" s="25"/>
      <c r="C82" s="25"/>
      <c r="D82" s="28"/>
      <c r="E82" s="28"/>
      <c r="H82" s="43" t="str">
        <f t="shared" si="1"/>
        <v>No</v>
      </c>
    </row>
    <row r="83" spans="1:8" hidden="1">
      <c r="A83" s="24"/>
      <c r="B83" s="25"/>
      <c r="C83" s="25"/>
      <c r="D83" s="28"/>
      <c r="E83" s="28"/>
      <c r="H83" s="43" t="str">
        <f t="shared" si="1"/>
        <v>No</v>
      </c>
    </row>
    <row r="84" spans="1:8" hidden="1">
      <c r="A84" s="24"/>
      <c r="B84" s="25"/>
      <c r="C84" s="25"/>
      <c r="D84" s="28"/>
      <c r="E84" s="28"/>
      <c r="H84" s="43" t="str">
        <f t="shared" si="1"/>
        <v>No</v>
      </c>
    </row>
    <row r="85" spans="1:8" hidden="1">
      <c r="A85" s="24"/>
      <c r="B85" s="25"/>
      <c r="C85" s="25"/>
      <c r="D85" s="28"/>
      <c r="E85" s="28"/>
      <c r="H85" s="43" t="str">
        <f t="shared" si="1"/>
        <v>No</v>
      </c>
    </row>
    <row r="86" spans="1:8" hidden="1">
      <c r="A86" s="24"/>
      <c r="B86" s="25"/>
      <c r="C86" s="25"/>
      <c r="D86" s="28"/>
      <c r="E86" s="28"/>
      <c r="H86" s="43" t="str">
        <f t="shared" si="1"/>
        <v>No</v>
      </c>
    </row>
    <row r="87" spans="1:8" hidden="1">
      <c r="A87" s="24"/>
      <c r="B87" s="25"/>
      <c r="C87" s="25"/>
      <c r="D87" s="28"/>
      <c r="E87" s="28"/>
      <c r="H87" s="43" t="str">
        <f t="shared" si="1"/>
        <v>No</v>
      </c>
    </row>
    <row r="88" spans="1:8">
      <c r="A88" s="24"/>
      <c r="B88" s="25"/>
      <c r="C88" s="25"/>
      <c r="D88" s="28"/>
      <c r="E88" s="28"/>
      <c r="H88" s="43" t="str">
        <f t="shared" si="1"/>
        <v>No</v>
      </c>
    </row>
    <row r="89" spans="1:8" ht="24">
      <c r="A89" s="48"/>
      <c r="B89" s="49"/>
      <c r="C89" s="50" t="s">
        <v>195</v>
      </c>
      <c r="D89" s="53">
        <f>D64+D65-D76</f>
        <v>0</v>
      </c>
      <c r="E89" s="53">
        <f>E64+E65-E76</f>
        <v>0</v>
      </c>
      <c r="G89" s="42" t="s">
        <v>42</v>
      </c>
      <c r="H89" s="43" t="str">
        <f t="shared" si="1"/>
        <v>Yes</v>
      </c>
    </row>
    <row r="90" spans="1:8">
      <c r="G90" s="42" t="s">
        <v>42</v>
      </c>
      <c r="H90" s="43" t="str">
        <f t="shared" si="1"/>
        <v>Yes</v>
      </c>
    </row>
    <row r="91" spans="1:8">
      <c r="G91" s="42" t="s">
        <v>42</v>
      </c>
      <c r="H91" s="43" t="str">
        <f t="shared" si="1"/>
        <v>Yes</v>
      </c>
    </row>
    <row r="92" spans="1:8">
      <c r="B92" s="54" t="s">
        <v>77</v>
      </c>
      <c r="E92" s="12"/>
      <c r="G92" s="42" t="s">
        <v>42</v>
      </c>
      <c r="H92" s="43" t="str">
        <f t="shared" si="1"/>
        <v>Yes</v>
      </c>
    </row>
    <row r="93" spans="1:8">
      <c r="B93" s="55"/>
      <c r="E93" s="12"/>
      <c r="G93" s="42" t="s">
        <v>42</v>
      </c>
      <c r="H93" s="43" t="str">
        <f t="shared" si="1"/>
        <v>Yes</v>
      </c>
    </row>
    <row r="94" spans="1:8">
      <c r="B94" s="55"/>
      <c r="C94" s="56" t="s">
        <v>196</v>
      </c>
      <c r="D94" s="57"/>
      <c r="E94" s="12"/>
      <c r="G94" s="42" t="s">
        <v>42</v>
      </c>
      <c r="H94" s="43" t="str">
        <f t="shared" si="1"/>
        <v>Yes</v>
      </c>
    </row>
    <row r="95" spans="1:8">
      <c r="B95" s="55"/>
      <c r="C95" s="58" t="s">
        <v>79</v>
      </c>
      <c r="D95" s="57"/>
      <c r="E95" s="12"/>
      <c r="G95" s="42" t="s">
        <v>42</v>
      </c>
      <c r="H95" s="43" t="str">
        <f t="shared" si="1"/>
        <v>Yes</v>
      </c>
    </row>
    <row r="96" spans="1:8">
      <c r="B96" s="55"/>
      <c r="C96" s="56"/>
      <c r="D96" s="57"/>
      <c r="E96" s="12"/>
      <c r="G96" s="42" t="s">
        <v>42</v>
      </c>
      <c r="H96" s="43" t="str">
        <f t="shared" si="1"/>
        <v>Yes</v>
      </c>
    </row>
    <row r="97" spans="2:8">
      <c r="B97" s="55"/>
      <c r="C97" s="56" t="s">
        <v>197</v>
      </c>
      <c r="D97" s="57"/>
      <c r="E97" s="12"/>
      <c r="G97" s="42" t="s">
        <v>42</v>
      </c>
      <c r="H97" s="43" t="str">
        <f t="shared" si="1"/>
        <v>Yes</v>
      </c>
    </row>
    <row r="98" spans="2:8">
      <c r="B98" s="55"/>
      <c r="C98" s="58" t="s">
        <v>79</v>
      </c>
      <c r="D98" s="57"/>
      <c r="E98" s="12"/>
      <c r="G98" s="42" t="s">
        <v>42</v>
      </c>
      <c r="H98" s="43" t="str">
        <f t="shared" si="1"/>
        <v>Yes</v>
      </c>
    </row>
    <row r="99" spans="2:8">
      <c r="G99" s="42" t="s">
        <v>42</v>
      </c>
      <c r="H99" s="43" t="str">
        <f t="shared" si="1"/>
        <v>Yes</v>
      </c>
    </row>
    <row r="100" spans="2:8">
      <c r="G100" s="42" t="s">
        <v>42</v>
      </c>
      <c r="H100" s="43" t="str">
        <f t="shared" si="1"/>
        <v>Yes</v>
      </c>
    </row>
    <row r="101" spans="2:8">
      <c r="G101" s="42" t="s">
        <v>42</v>
      </c>
      <c r="H101" s="43" t="str">
        <f t="shared" si="1"/>
        <v>Yes</v>
      </c>
    </row>
    <row r="102" spans="2:8">
      <c r="G102" s="42" t="s">
        <v>42</v>
      </c>
      <c r="H102" s="43" t="str">
        <f t="shared" si="1"/>
        <v>Yes</v>
      </c>
    </row>
    <row r="103" spans="2:8">
      <c r="H103" s="43" t="str">
        <f t="shared" si="1"/>
        <v>No</v>
      </c>
    </row>
  </sheetData>
  <sheetProtection formatCells="0" formatRows="0" insertRows="0" autoFilter="0" pivotTables="0"/>
  <autoFilter ref="H1:H103" xr:uid="{00000000-0009-0000-0000-000005000000}"/>
  <mergeCells count="10">
    <mergeCell ref="C6:D6"/>
    <mergeCell ref="D9:E9"/>
    <mergeCell ref="A9:A10"/>
    <mergeCell ref="B9:B10"/>
    <mergeCell ref="C9:C10"/>
    <mergeCell ref="A2:E2"/>
    <mergeCell ref="A3:E3"/>
    <mergeCell ref="J3:K3"/>
    <mergeCell ref="A4:E4"/>
    <mergeCell ref="A5:E5"/>
  </mergeCells>
  <conditionalFormatting sqref="H1">
    <cfRule type="cellIs" dxfId="1" priority="2" operator="equal">
      <formula>"Hide"</formula>
    </cfRule>
  </conditionalFormatting>
  <dataValidations count="3">
    <dataValidation type="list" allowBlank="1" showDropDown="1" showInputMessage="1" showErrorMessage="1" sqref="H1" xr:uid="{00000000-0002-0000-0500-000000000000}">
      <formula1>"Hide,Unhide"</formula1>
    </dataValidation>
    <dataValidation type="list" allowBlank="1" showInputMessage="1" showErrorMessage="1" sqref="K5" xr:uid="{00000000-0002-0000-0500-000001000000}">
      <formula1>"KASIKORNTHAI PLC.,KRUNGTHAI PLC."</formula1>
    </dataValidation>
    <dataValidation type="list" allowBlank="1" showInputMessage="1" showErrorMessage="1" sqref="C6" xr:uid="{00000000-0002-0000-0500-000002000000}">
      <formula1>"แหล่งเงินงบประมาณ, แหล่งเงินกองทุน"</formula1>
    </dataValidation>
  </dataValidations>
  <pageMargins left="0.51" right="0.235416666666667" top="0.42" bottom="0.18888888888888899" header="0.4" footer="0.31388888888888899"/>
  <pageSetup paperSize="9" scale="72" fitToWidth="2" fitToHeight="2" orientation="portrait" r:id="rId1"/>
  <colBreaks count="1" manualBreakCount="1">
    <brk id="6" max="102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5" tint="-0.249977111117893"/>
  </sheetPr>
  <dimension ref="A1:G52"/>
  <sheetViews>
    <sheetView zoomScale="80" zoomScaleNormal="80" workbookViewId="0">
      <selection activeCell="N23" sqref="N23"/>
    </sheetView>
  </sheetViews>
  <sheetFormatPr defaultColWidth="9" defaultRowHeight="21.75"/>
  <cols>
    <col min="1" max="1" width="15" style="14" customWidth="1"/>
    <col min="2" max="2" width="13.42578125" style="14" hidden="1" customWidth="1"/>
    <col min="3" max="3" width="2.140625" style="14" hidden="1" customWidth="1"/>
    <col min="4" max="4" width="17.140625" style="14" customWidth="1"/>
    <col min="5" max="5" width="47.140625" style="14" customWidth="1"/>
    <col min="6" max="6" width="17" style="60" customWidth="1"/>
    <col min="7" max="7" width="17.85546875" style="60" customWidth="1"/>
    <col min="8" max="16384" width="9" style="14"/>
  </cols>
  <sheetData>
    <row r="1" spans="1:7" s="59" customFormat="1" ht="24">
      <c r="A1" s="387" t="s">
        <v>175</v>
      </c>
      <c r="B1" s="387"/>
      <c r="C1" s="387"/>
      <c r="D1" s="387"/>
      <c r="E1" s="387"/>
      <c r="F1" s="387"/>
      <c r="G1" s="387"/>
    </row>
    <row r="2" spans="1:7" s="59" customFormat="1" ht="24">
      <c r="A2" s="387" t="s">
        <v>228</v>
      </c>
      <c r="B2" s="387"/>
      <c r="C2" s="387"/>
      <c r="D2" s="387"/>
      <c r="E2" s="387"/>
      <c r="F2" s="387"/>
      <c r="G2" s="387"/>
    </row>
    <row r="3" spans="1:7" s="59" customFormat="1" ht="24">
      <c r="A3" s="387" t="s">
        <v>177</v>
      </c>
      <c r="B3" s="387"/>
      <c r="C3" s="387"/>
      <c r="D3" s="387"/>
      <c r="E3" s="387"/>
      <c r="F3" s="387"/>
      <c r="G3" s="387"/>
    </row>
    <row r="4" spans="1:7" s="59" customFormat="1" ht="24">
      <c r="A4" s="387" t="s">
        <v>179</v>
      </c>
      <c r="B4" s="387"/>
      <c r="C4" s="387"/>
      <c r="D4" s="387"/>
      <c r="E4" s="387"/>
      <c r="F4" s="387"/>
      <c r="G4" s="387"/>
    </row>
    <row r="5" spans="1:7" s="59" customFormat="1" ht="24">
      <c r="A5" s="387" t="s">
        <v>198</v>
      </c>
      <c r="B5" s="387"/>
      <c r="C5" s="387"/>
      <c r="D5" s="387"/>
      <c r="E5" s="387"/>
      <c r="F5" s="387"/>
      <c r="G5" s="387"/>
    </row>
    <row r="6" spans="1:7" ht="13.5" customHeight="1"/>
    <row r="7" spans="1:7" ht="37.5" customHeight="1">
      <c r="A7" s="488" t="s">
        <v>45</v>
      </c>
      <c r="B7" s="484" t="s">
        <v>89</v>
      </c>
      <c r="C7" s="484" t="s">
        <v>199</v>
      </c>
      <c r="D7" s="484" t="s">
        <v>90</v>
      </c>
      <c r="E7" s="484" t="s">
        <v>190</v>
      </c>
      <c r="F7" s="486" t="s">
        <v>200</v>
      </c>
      <c r="G7" s="487"/>
    </row>
    <row r="8" spans="1:7" ht="24.75" customHeight="1">
      <c r="A8" s="489"/>
      <c r="B8" s="485"/>
      <c r="C8" s="485"/>
      <c r="D8" s="485"/>
      <c r="E8" s="485"/>
      <c r="F8" s="61" t="s">
        <v>75</v>
      </c>
      <c r="G8" s="62" t="s">
        <v>76</v>
      </c>
    </row>
    <row r="9" spans="1:7">
      <c r="A9" s="19"/>
      <c r="B9" s="19"/>
      <c r="C9" s="19"/>
      <c r="D9" s="19"/>
      <c r="E9" s="20" t="s">
        <v>64</v>
      </c>
      <c r="F9" s="63">
        <f>SUM(F10:F12)</f>
        <v>0</v>
      </c>
      <c r="G9" s="63">
        <f>SUM(G10:G12)</f>
        <v>0</v>
      </c>
    </row>
    <row r="10" spans="1:7">
      <c r="A10" s="64"/>
      <c r="B10" s="64"/>
      <c r="C10" s="64"/>
      <c r="D10" s="64"/>
      <c r="E10" s="64"/>
      <c r="F10" s="65"/>
      <c r="G10" s="65"/>
    </row>
    <row r="11" spans="1:7" hidden="1">
      <c r="A11" s="64"/>
      <c r="B11" s="64"/>
      <c r="C11" s="64"/>
      <c r="D11" s="64"/>
      <c r="E11" s="64"/>
      <c r="F11" s="65"/>
      <c r="G11" s="65"/>
    </row>
    <row r="12" spans="1:7">
      <c r="A12" s="64"/>
      <c r="B12" s="64"/>
      <c r="C12" s="64"/>
      <c r="D12" s="64"/>
      <c r="E12" s="64"/>
      <c r="F12" s="65"/>
      <c r="G12" s="65"/>
    </row>
    <row r="13" spans="1:7">
      <c r="A13" s="30"/>
      <c r="B13" s="30"/>
      <c r="C13" s="30"/>
      <c r="D13" s="30"/>
      <c r="E13" s="31" t="s">
        <v>65</v>
      </c>
      <c r="F13" s="66">
        <f>SUM(F14:F15)</f>
        <v>0</v>
      </c>
      <c r="G13" s="66">
        <f>SUM(G14:G15)</f>
        <v>0</v>
      </c>
    </row>
    <row r="14" spans="1:7">
      <c r="A14" s="64"/>
      <c r="B14" s="64"/>
      <c r="C14" s="64"/>
      <c r="D14" s="64"/>
      <c r="E14" s="64"/>
      <c r="F14" s="65"/>
      <c r="G14" s="65"/>
    </row>
    <row r="15" spans="1:7">
      <c r="A15" s="64"/>
      <c r="B15" s="64"/>
      <c r="C15" s="64"/>
      <c r="D15" s="64"/>
      <c r="E15" s="64"/>
      <c r="F15" s="65"/>
      <c r="G15" s="65"/>
    </row>
    <row r="16" spans="1:7">
      <c r="A16" s="30"/>
      <c r="B16" s="30"/>
      <c r="C16" s="30"/>
      <c r="D16" s="30"/>
      <c r="E16" s="31" t="s">
        <v>67</v>
      </c>
      <c r="F16" s="66">
        <f>SUM(F17:F19)</f>
        <v>0</v>
      </c>
      <c r="G16" s="66">
        <f>SUM(G17:G19)</f>
        <v>0</v>
      </c>
    </row>
    <row r="17" spans="1:7">
      <c r="A17" s="64"/>
      <c r="B17" s="64"/>
      <c r="C17" s="64"/>
      <c r="D17" s="64"/>
      <c r="E17" s="64"/>
      <c r="F17" s="65"/>
      <c r="G17" s="65"/>
    </row>
    <row r="18" spans="1:7">
      <c r="A18" s="64"/>
      <c r="B18" s="64"/>
      <c r="C18" s="64"/>
      <c r="D18" s="64"/>
      <c r="E18" s="64"/>
      <c r="F18" s="65"/>
      <c r="G18" s="65"/>
    </row>
    <row r="19" spans="1:7">
      <c r="A19" s="64"/>
      <c r="B19" s="64"/>
      <c r="C19" s="64"/>
      <c r="D19" s="64"/>
      <c r="E19" s="64"/>
      <c r="F19" s="65"/>
      <c r="G19" s="65"/>
    </row>
    <row r="20" spans="1:7" ht="24">
      <c r="A20" s="36"/>
      <c r="B20" s="36"/>
      <c r="C20" s="36"/>
      <c r="D20" s="36"/>
      <c r="E20" s="37" t="s">
        <v>68</v>
      </c>
      <c r="F20" s="67">
        <f>F9+F13-F16</f>
        <v>0</v>
      </c>
      <c r="G20" s="67">
        <f>G9+G13-G16</f>
        <v>0</v>
      </c>
    </row>
    <row r="21" spans="1:7">
      <c r="A21" s="30"/>
      <c r="B21" s="30"/>
      <c r="C21" s="30"/>
      <c r="D21" s="30"/>
      <c r="E21" s="31" t="s">
        <v>69</v>
      </c>
      <c r="F21" s="66">
        <f>SUM(F22:F23)</f>
        <v>0</v>
      </c>
      <c r="G21" s="66">
        <f>SUM(G22:G23)</f>
        <v>0</v>
      </c>
    </row>
    <row r="22" spans="1:7">
      <c r="A22" s="64"/>
      <c r="B22" s="64"/>
      <c r="C22" s="64"/>
      <c r="D22" s="64"/>
      <c r="E22" s="64"/>
      <c r="F22" s="65"/>
      <c r="G22" s="65"/>
    </row>
    <row r="23" spans="1:7">
      <c r="A23" s="64"/>
      <c r="B23" s="64"/>
      <c r="C23" s="64"/>
      <c r="D23" s="64"/>
      <c r="E23" s="64"/>
      <c r="F23" s="65"/>
      <c r="G23" s="65"/>
    </row>
    <row r="24" spans="1:7">
      <c r="A24" s="30"/>
      <c r="B24" s="30"/>
      <c r="C24" s="30"/>
      <c r="D24" s="30"/>
      <c r="E24" s="31" t="s">
        <v>70</v>
      </c>
      <c r="F24" s="66">
        <f>SUM(F25:F26)</f>
        <v>0</v>
      </c>
      <c r="G24" s="66">
        <f>SUM(G25:G26)</f>
        <v>0</v>
      </c>
    </row>
    <row r="25" spans="1:7">
      <c r="A25" s="64"/>
      <c r="B25" s="64"/>
      <c r="C25" s="64"/>
      <c r="D25" s="64"/>
      <c r="E25" s="64"/>
      <c r="F25" s="65"/>
      <c r="G25" s="65"/>
    </row>
    <row r="26" spans="1:7">
      <c r="A26" s="64"/>
      <c r="B26" s="64"/>
      <c r="C26" s="64"/>
      <c r="D26" s="64"/>
      <c r="E26" s="64"/>
      <c r="F26" s="65"/>
      <c r="G26" s="65"/>
    </row>
    <row r="27" spans="1:7" ht="24">
      <c r="A27" s="49"/>
      <c r="B27" s="49"/>
      <c r="C27" s="49"/>
      <c r="D27" s="49"/>
      <c r="E27" s="50" t="s">
        <v>236</v>
      </c>
      <c r="F27" s="68">
        <f>F20+F21-F24</f>
        <v>0</v>
      </c>
      <c r="G27" s="68">
        <f>G20+G21-G24</f>
        <v>0</v>
      </c>
    </row>
    <row r="28" spans="1:7" ht="24">
      <c r="A28" s="69"/>
      <c r="B28" s="69"/>
      <c r="C28" s="69"/>
      <c r="D28" s="69"/>
      <c r="E28" s="70" t="s">
        <v>201</v>
      </c>
      <c r="F28" s="71">
        <f>F15+F19-F23</f>
        <v>0</v>
      </c>
      <c r="G28" s="71">
        <f>G15+G19-G23</f>
        <v>0</v>
      </c>
    </row>
    <row r="29" spans="1:7">
      <c r="A29" s="64"/>
      <c r="B29" s="64"/>
      <c r="C29" s="64"/>
      <c r="D29" s="64"/>
      <c r="E29" s="64"/>
      <c r="F29" s="65"/>
      <c r="G29" s="65"/>
    </row>
    <row r="30" spans="1:7">
      <c r="A30" s="64"/>
      <c r="B30" s="64"/>
      <c r="C30" s="64"/>
      <c r="D30" s="64"/>
      <c r="E30" s="64"/>
      <c r="F30" s="65"/>
      <c r="G30" s="65"/>
    </row>
    <row r="31" spans="1:7">
      <c r="A31" s="72"/>
      <c r="B31" s="72"/>
      <c r="C31" s="72"/>
      <c r="D31" s="72"/>
      <c r="E31" s="73" t="s">
        <v>65</v>
      </c>
      <c r="F31" s="74">
        <f>SUM(F32:F33)</f>
        <v>0</v>
      </c>
      <c r="G31" s="74">
        <f>SUM(G32:G33)</f>
        <v>0</v>
      </c>
    </row>
    <row r="32" spans="1:7">
      <c r="A32" s="64"/>
      <c r="B32" s="64"/>
      <c r="C32" s="64"/>
      <c r="D32" s="64"/>
      <c r="E32" s="64"/>
      <c r="F32" s="65"/>
      <c r="G32" s="65"/>
    </row>
    <row r="33" spans="1:7">
      <c r="A33" s="64"/>
      <c r="B33" s="64"/>
      <c r="C33" s="64"/>
      <c r="D33" s="64"/>
      <c r="E33" s="64"/>
      <c r="F33" s="65"/>
      <c r="G33" s="65"/>
    </row>
    <row r="34" spans="1:7">
      <c r="A34" s="72"/>
      <c r="B34" s="72"/>
      <c r="C34" s="72"/>
      <c r="D34" s="72"/>
      <c r="E34" s="73" t="s">
        <v>67</v>
      </c>
      <c r="F34" s="74">
        <f>SUM(F35:F36)</f>
        <v>0</v>
      </c>
      <c r="G34" s="74">
        <f>SUM(G35:G36)</f>
        <v>0</v>
      </c>
    </row>
    <row r="35" spans="1:7">
      <c r="A35" s="64"/>
      <c r="B35" s="64"/>
      <c r="C35" s="64"/>
      <c r="D35" s="64"/>
      <c r="E35" s="64"/>
      <c r="F35" s="65"/>
      <c r="G35" s="65"/>
    </row>
    <row r="36" spans="1:7">
      <c r="A36" s="64"/>
      <c r="B36" s="64"/>
      <c r="C36" s="64"/>
      <c r="D36" s="64"/>
      <c r="E36" s="64"/>
      <c r="F36" s="65"/>
      <c r="G36" s="65"/>
    </row>
    <row r="37" spans="1:7" ht="24">
      <c r="A37" s="69"/>
      <c r="B37" s="69"/>
      <c r="C37" s="69"/>
      <c r="D37" s="69"/>
      <c r="E37" s="70" t="s">
        <v>68</v>
      </c>
      <c r="F37" s="71">
        <f>F27+F31-F34</f>
        <v>0</v>
      </c>
      <c r="G37" s="71">
        <f>G27+G31-G34</f>
        <v>0</v>
      </c>
    </row>
    <row r="38" spans="1:7">
      <c r="A38" s="72"/>
      <c r="B38" s="72"/>
      <c r="C38" s="72"/>
      <c r="D38" s="72"/>
      <c r="E38" s="73" t="s">
        <v>69</v>
      </c>
      <c r="F38" s="74">
        <f>SUM(F39:F40)</f>
        <v>0</v>
      </c>
      <c r="G38" s="74">
        <f>SUM(G39:G40)</f>
        <v>0</v>
      </c>
    </row>
    <row r="39" spans="1:7">
      <c r="A39" s="64"/>
      <c r="B39" s="64"/>
      <c r="C39" s="64"/>
      <c r="D39" s="64"/>
      <c r="E39" s="64"/>
      <c r="F39" s="65"/>
      <c r="G39" s="65"/>
    </row>
    <row r="40" spans="1:7">
      <c r="A40" s="64"/>
      <c r="B40" s="64"/>
      <c r="C40" s="64"/>
      <c r="D40" s="64"/>
      <c r="E40" s="64"/>
      <c r="F40" s="65"/>
      <c r="G40" s="65"/>
    </row>
    <row r="41" spans="1:7">
      <c r="A41" s="72"/>
      <c r="B41" s="72"/>
      <c r="C41" s="72"/>
      <c r="D41" s="72"/>
      <c r="E41" s="73" t="s">
        <v>70</v>
      </c>
      <c r="F41" s="74">
        <f>SUM(F42:F43)</f>
        <v>0</v>
      </c>
      <c r="G41" s="74">
        <f>SUM(G42:G43)</f>
        <v>0</v>
      </c>
    </row>
    <row r="42" spans="1:7">
      <c r="A42" s="64"/>
      <c r="B42" s="64"/>
      <c r="C42" s="64"/>
      <c r="D42" s="64"/>
      <c r="E42" s="64"/>
      <c r="F42" s="65"/>
      <c r="G42" s="65"/>
    </row>
    <row r="43" spans="1:7">
      <c r="A43" s="64"/>
      <c r="B43" s="64"/>
      <c r="C43" s="64"/>
      <c r="D43" s="64"/>
      <c r="E43" s="64"/>
      <c r="F43" s="65"/>
      <c r="G43" s="65"/>
    </row>
    <row r="44" spans="1:7" ht="24">
      <c r="A44" s="75"/>
      <c r="B44" s="75"/>
      <c r="C44" s="75"/>
      <c r="D44" s="75"/>
      <c r="E44" s="76" t="s">
        <v>195</v>
      </c>
      <c r="F44" s="77">
        <f>F37+F38-F41</f>
        <v>0</v>
      </c>
      <c r="G44" s="77">
        <f>G37+G38-G41</f>
        <v>0</v>
      </c>
    </row>
    <row r="46" spans="1:7">
      <c r="D46" s="78" t="s">
        <v>77</v>
      </c>
    </row>
    <row r="47" spans="1:7">
      <c r="D47" s="79"/>
    </row>
    <row r="48" spans="1:7">
      <c r="D48" s="79"/>
      <c r="E48" s="80" t="s">
        <v>78</v>
      </c>
      <c r="F48" s="81"/>
    </row>
    <row r="49" spans="4:6">
      <c r="D49" s="79"/>
      <c r="E49" s="82" t="s">
        <v>79</v>
      </c>
      <c r="F49" s="81"/>
    </row>
    <row r="50" spans="4:6">
      <c r="D50" s="79"/>
      <c r="E50" s="80"/>
      <c r="F50" s="81"/>
    </row>
    <row r="51" spans="4:6">
      <c r="D51" s="79"/>
      <c r="E51" s="80" t="s">
        <v>80</v>
      </c>
      <c r="F51" s="81"/>
    </row>
    <row r="52" spans="4:6">
      <c r="D52" s="79"/>
      <c r="E52" s="82" t="s">
        <v>79</v>
      </c>
      <c r="F52" s="81"/>
    </row>
  </sheetData>
  <mergeCells count="11">
    <mergeCell ref="F7:G7"/>
    <mergeCell ref="A7:A8"/>
    <mergeCell ref="B7:B8"/>
    <mergeCell ref="C7:C8"/>
    <mergeCell ref="D7:D8"/>
    <mergeCell ref="E7:E8"/>
    <mergeCell ref="A1:G1"/>
    <mergeCell ref="A2:G2"/>
    <mergeCell ref="A3:G3"/>
    <mergeCell ref="A4:G4"/>
    <mergeCell ref="A5:G5"/>
  </mergeCells>
  <pageMargins left="0.31" right="0.17" top="0.25902777777777802" bottom="0.15625" header="0.31388888888888899" footer="0.15902777777777799"/>
  <pageSetup paperSize="9" scale="8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tabColor theme="5" tint="-0.249977111117893"/>
  </sheetPr>
  <dimension ref="A1:O102"/>
  <sheetViews>
    <sheetView zoomScaleNormal="100" workbookViewId="0">
      <selection activeCell="A6" sqref="A6"/>
    </sheetView>
  </sheetViews>
  <sheetFormatPr defaultColWidth="9" defaultRowHeight="21.75"/>
  <cols>
    <col min="1" max="1" width="13" style="11" customWidth="1"/>
    <col min="2" max="3" width="13" style="12" hidden="1" customWidth="1"/>
    <col min="4" max="4" width="12" style="12" customWidth="1"/>
    <col min="5" max="5" width="41.28515625" style="12" customWidth="1"/>
    <col min="6" max="6" width="15.42578125" style="12" customWidth="1"/>
    <col min="7" max="7" width="13.28515625" style="12" customWidth="1"/>
    <col min="8" max="8" width="18.42578125" style="13" customWidth="1"/>
    <col min="9" max="9" width="19.140625" style="13" customWidth="1"/>
    <col min="10" max="10" width="7.5703125" style="12" customWidth="1"/>
    <col min="11" max="11" width="2.5703125" style="14" customWidth="1"/>
    <col min="12" max="12" width="9.140625" style="14" customWidth="1"/>
    <col min="13" max="13" width="2" style="12" customWidth="1"/>
    <col min="14" max="14" width="20.85546875" style="12" customWidth="1"/>
    <col min="15" max="15" width="64.5703125" style="12" customWidth="1"/>
    <col min="16" max="16384" width="9" style="12"/>
  </cols>
  <sheetData>
    <row r="1" spans="1:15">
      <c r="L1" s="41" t="s">
        <v>43</v>
      </c>
    </row>
    <row r="2" spans="1:15" s="10" customFormat="1" ht="24">
      <c r="A2" s="490" t="s">
        <v>230</v>
      </c>
      <c r="B2" s="490"/>
      <c r="C2" s="490"/>
      <c r="D2" s="490"/>
      <c r="E2" s="490"/>
      <c r="F2" s="490"/>
      <c r="G2" s="490"/>
      <c r="H2" s="490"/>
      <c r="I2" s="490"/>
      <c r="K2" s="42" t="s">
        <v>42</v>
      </c>
      <c r="L2" s="43" t="str">
        <f>IF(K2&lt;&gt;"",K2,IF(AND(A2="",D2="",E2="",H2="",I2=""),"No","Yes"))</f>
        <v>Yes</v>
      </c>
      <c r="M2" s="44"/>
    </row>
    <row r="3" spans="1:15" s="10" customFormat="1" ht="24">
      <c r="A3" s="490" t="s">
        <v>229</v>
      </c>
      <c r="B3" s="490"/>
      <c r="C3" s="490"/>
      <c r="D3" s="490"/>
      <c r="E3" s="490"/>
      <c r="F3" s="490"/>
      <c r="G3" s="490"/>
      <c r="H3" s="490"/>
      <c r="I3" s="490"/>
      <c r="K3" s="42" t="s">
        <v>42</v>
      </c>
      <c r="L3" s="43" t="str">
        <f t="shared" ref="L3:L66" si="0">IF(K3&lt;&gt;"",K3,IF(AND(A3="",D3="",E3="",H3="",I3=""),"No","Yes"))</f>
        <v>Yes</v>
      </c>
      <c r="M3" s="44"/>
      <c r="N3" s="477" t="s">
        <v>176</v>
      </c>
      <c r="O3" s="478"/>
    </row>
    <row r="4" spans="1:15" s="10" customFormat="1" ht="24">
      <c r="A4" s="490" t="s">
        <v>202</v>
      </c>
      <c r="B4" s="490"/>
      <c r="C4" s="490"/>
      <c r="D4" s="490"/>
      <c r="E4" s="490"/>
      <c r="F4" s="490"/>
      <c r="G4" s="490"/>
      <c r="H4" s="490"/>
      <c r="I4" s="490"/>
      <c r="K4" s="42" t="s">
        <v>42</v>
      </c>
      <c r="L4" s="43" t="str">
        <f t="shared" si="0"/>
        <v>Yes</v>
      </c>
      <c r="M4" s="44"/>
      <c r="N4" s="2" t="s">
        <v>178</v>
      </c>
      <c r="O4" s="3">
        <v>43040</v>
      </c>
    </row>
    <row r="5" spans="1:15" s="10" customFormat="1" ht="24">
      <c r="A5" s="490" t="s">
        <v>239</v>
      </c>
      <c r="B5" s="490"/>
      <c r="C5" s="490"/>
      <c r="D5" s="490"/>
      <c r="E5" s="490"/>
      <c r="F5" s="490"/>
      <c r="G5" s="490"/>
      <c r="H5" s="490"/>
      <c r="I5" s="490"/>
      <c r="K5" s="42" t="s">
        <v>42</v>
      </c>
      <c r="L5" s="43" t="str">
        <f t="shared" si="0"/>
        <v>Yes</v>
      </c>
      <c r="M5" s="44"/>
      <c r="N5" s="4" t="s">
        <v>180</v>
      </c>
      <c r="O5" s="5" t="s">
        <v>181</v>
      </c>
    </row>
    <row r="6" spans="1:15" s="10" customFormat="1" ht="24">
      <c r="A6" s="11"/>
      <c r="B6" s="12"/>
      <c r="C6" s="12"/>
      <c r="D6" s="12"/>
      <c r="E6" s="12"/>
      <c r="F6" s="12"/>
      <c r="G6" s="12"/>
      <c r="H6" s="13"/>
      <c r="I6" s="13"/>
      <c r="J6" s="12"/>
      <c r="K6" s="42" t="s">
        <v>42</v>
      </c>
      <c r="L6" s="43" t="str">
        <f t="shared" si="0"/>
        <v>Yes</v>
      </c>
      <c r="M6" s="44"/>
      <c r="N6" s="4" t="s">
        <v>183</v>
      </c>
      <c r="O6" s="6">
        <f>IF(O5="KRUNGTHAI PLC.",IF(H8="แหล่งเงินงบประมาณ",3856001840,IF(H8="แหล่งเงินกองทุน",3850034186,"")),IF(O5="KASIKORNTHAI PLC.","",""))</f>
        <v>3856001840</v>
      </c>
    </row>
    <row r="7" spans="1:15">
      <c r="D7" s="12" t="s">
        <v>186</v>
      </c>
      <c r="E7" s="15" t="s">
        <v>187</v>
      </c>
      <c r="F7" s="16"/>
      <c r="G7" s="16"/>
      <c r="H7" s="13" t="s">
        <v>188</v>
      </c>
      <c r="I7" s="45" t="s">
        <v>203</v>
      </c>
      <c r="K7" s="42" t="s">
        <v>42</v>
      </c>
      <c r="L7" s="43" t="str">
        <f t="shared" si="0"/>
        <v>Yes</v>
      </c>
      <c r="N7" s="4" t="s">
        <v>184</v>
      </c>
      <c r="O7" s="7" t="s">
        <v>185</v>
      </c>
    </row>
    <row r="8" spans="1:15" ht="24" customHeight="1">
      <c r="A8" s="482" t="s">
        <v>45</v>
      </c>
      <c r="B8" s="484" t="s">
        <v>89</v>
      </c>
      <c r="C8" s="484" t="s">
        <v>199</v>
      </c>
      <c r="D8" s="484" t="s">
        <v>90</v>
      </c>
      <c r="E8" s="484" t="s">
        <v>190</v>
      </c>
      <c r="F8" s="491" t="s">
        <v>204</v>
      </c>
      <c r="G8" s="491" t="s">
        <v>205</v>
      </c>
      <c r="H8" s="480" t="s">
        <v>182</v>
      </c>
      <c r="I8" s="481"/>
      <c r="K8" s="42" t="s">
        <v>42</v>
      </c>
      <c r="L8" s="43" t="str">
        <f t="shared" si="0"/>
        <v>Yes</v>
      </c>
      <c r="N8" s="4" t="s">
        <v>189</v>
      </c>
      <c r="O8" s="6" t="str">
        <f>IF(O5="KRUNGTHAI PLC.","KRTHTHBK",IF(O5="KASIKORNTHAI PLC.","KASITHBK",""))</f>
        <v>KRTHTHBK</v>
      </c>
    </row>
    <row r="9" spans="1:15" ht="27" customHeight="1">
      <c r="A9" s="483"/>
      <c r="B9" s="485"/>
      <c r="C9" s="485"/>
      <c r="D9" s="485"/>
      <c r="E9" s="485"/>
      <c r="F9" s="492"/>
      <c r="G9" s="492"/>
      <c r="H9" s="17" t="str">
        <f>'1. ทะเบียนคุมรับ-จ่าย'!H8</f>
        <v>USD</v>
      </c>
      <c r="I9" s="46" t="s">
        <v>192</v>
      </c>
      <c r="K9" s="42" t="s">
        <v>42</v>
      </c>
      <c r="L9" s="43" t="str">
        <f t="shared" si="0"/>
        <v>Yes</v>
      </c>
      <c r="N9" s="4" t="s">
        <v>191</v>
      </c>
      <c r="O9" s="8" t="str">
        <f>H9</f>
        <v>USD</v>
      </c>
    </row>
    <row r="10" spans="1:15" ht="27" customHeight="1">
      <c r="A10" s="18"/>
      <c r="B10" s="19"/>
      <c r="C10" s="19"/>
      <c r="D10" s="19"/>
      <c r="E10" s="20" t="s">
        <v>64</v>
      </c>
      <c r="F10" s="21"/>
      <c r="G10" s="22"/>
      <c r="H10" s="23">
        <f>SUM(H11:H25)</f>
        <v>0</v>
      </c>
      <c r="I10" s="23">
        <f>SUM(I11:I25)</f>
        <v>0</v>
      </c>
      <c r="K10" s="42" t="s">
        <v>42</v>
      </c>
      <c r="L10" s="43" t="str">
        <f t="shared" si="0"/>
        <v>Yes</v>
      </c>
      <c r="N10" s="4" t="s">
        <v>193</v>
      </c>
      <c r="O10" s="47">
        <f>H75</f>
        <v>0</v>
      </c>
    </row>
    <row r="11" spans="1:15">
      <c r="A11" s="24"/>
      <c r="B11" s="25"/>
      <c r="C11" s="25"/>
      <c r="D11" s="25"/>
      <c r="E11" s="25"/>
      <c r="F11" s="26"/>
      <c r="G11" s="27"/>
      <c r="H11" s="28"/>
      <c r="I11" s="28"/>
      <c r="K11" s="42" t="s">
        <v>42</v>
      </c>
      <c r="L11" s="43" t="str">
        <f t="shared" si="0"/>
        <v>Yes</v>
      </c>
      <c r="N11" s="4" t="s">
        <v>194</v>
      </c>
      <c r="O11" s="6" t="str">
        <f>E7&amp;" ("&amp;I7&amp;")"</f>
        <v>0901.3/ (OR87654321)</v>
      </c>
    </row>
    <row r="12" spans="1:15">
      <c r="A12" s="24"/>
      <c r="B12" s="25"/>
      <c r="C12" s="25"/>
      <c r="D12" s="25"/>
      <c r="E12" s="25"/>
      <c r="F12" s="26"/>
      <c r="G12" s="27"/>
      <c r="H12" s="28"/>
      <c r="I12" s="28"/>
      <c r="K12" s="42" t="s">
        <v>42</v>
      </c>
      <c r="L12" s="43" t="str">
        <f t="shared" si="0"/>
        <v>Yes</v>
      </c>
    </row>
    <row r="13" spans="1:15">
      <c r="A13" s="24"/>
      <c r="B13" s="25"/>
      <c r="C13" s="25"/>
      <c r="D13" s="25"/>
      <c r="E13" s="25"/>
      <c r="F13" s="26"/>
      <c r="G13" s="27"/>
      <c r="H13" s="28"/>
      <c r="I13" s="28"/>
      <c r="K13" s="42" t="s">
        <v>42</v>
      </c>
      <c r="L13" s="43" t="str">
        <f t="shared" si="0"/>
        <v>Yes</v>
      </c>
    </row>
    <row r="14" spans="1:15">
      <c r="A14" s="24"/>
      <c r="B14" s="25"/>
      <c r="C14" s="25"/>
      <c r="D14" s="25"/>
      <c r="E14" s="25"/>
      <c r="F14" s="26"/>
      <c r="G14" s="27"/>
      <c r="H14" s="28"/>
      <c r="I14" s="28"/>
      <c r="L14" s="43" t="str">
        <f t="shared" si="0"/>
        <v>No</v>
      </c>
    </row>
    <row r="15" spans="1:15">
      <c r="A15" s="24"/>
      <c r="B15" s="25"/>
      <c r="C15" s="25"/>
      <c r="D15" s="25"/>
      <c r="E15" s="25"/>
      <c r="F15" s="26"/>
      <c r="G15" s="27"/>
      <c r="H15" s="28"/>
      <c r="I15" s="28"/>
      <c r="L15" s="43" t="str">
        <f t="shared" si="0"/>
        <v>No</v>
      </c>
    </row>
    <row r="16" spans="1:15">
      <c r="A16" s="24"/>
      <c r="B16" s="25"/>
      <c r="C16" s="25"/>
      <c r="D16" s="25"/>
      <c r="E16" s="25"/>
      <c r="F16" s="26"/>
      <c r="G16" s="27"/>
      <c r="H16" s="28"/>
      <c r="I16" s="28"/>
      <c r="L16" s="43" t="str">
        <f t="shared" si="0"/>
        <v>No</v>
      </c>
    </row>
    <row r="17" spans="1:12">
      <c r="A17" s="24"/>
      <c r="B17" s="25"/>
      <c r="C17" s="25"/>
      <c r="D17" s="25"/>
      <c r="E17" s="25"/>
      <c r="F17" s="26"/>
      <c r="G17" s="27"/>
      <c r="H17" s="28"/>
      <c r="I17" s="28"/>
      <c r="L17" s="43" t="str">
        <f t="shared" si="0"/>
        <v>No</v>
      </c>
    </row>
    <row r="18" spans="1:12">
      <c r="A18" s="24"/>
      <c r="B18" s="25"/>
      <c r="C18" s="25"/>
      <c r="D18" s="25"/>
      <c r="E18" s="25"/>
      <c r="F18" s="26"/>
      <c r="G18" s="27"/>
      <c r="H18" s="28"/>
      <c r="I18" s="28"/>
      <c r="L18" s="43" t="str">
        <f t="shared" si="0"/>
        <v>No</v>
      </c>
    </row>
    <row r="19" spans="1:12">
      <c r="A19" s="24"/>
      <c r="B19" s="25"/>
      <c r="C19" s="25"/>
      <c r="D19" s="25"/>
      <c r="E19" s="25"/>
      <c r="F19" s="26"/>
      <c r="G19" s="27"/>
      <c r="H19" s="28"/>
      <c r="I19" s="28"/>
      <c r="L19" s="43" t="str">
        <f t="shared" si="0"/>
        <v>No</v>
      </c>
    </row>
    <row r="20" spans="1:12">
      <c r="A20" s="24"/>
      <c r="B20" s="25"/>
      <c r="C20" s="25"/>
      <c r="D20" s="25"/>
      <c r="E20" s="25"/>
      <c r="F20" s="26"/>
      <c r="G20" s="27"/>
      <c r="H20" s="28"/>
      <c r="I20" s="28"/>
      <c r="L20" s="43" t="str">
        <f t="shared" si="0"/>
        <v>No</v>
      </c>
    </row>
    <row r="21" spans="1:12">
      <c r="A21" s="24"/>
      <c r="B21" s="25"/>
      <c r="C21" s="25"/>
      <c r="D21" s="25"/>
      <c r="E21" s="25"/>
      <c r="F21" s="26"/>
      <c r="G21" s="27"/>
      <c r="H21" s="28"/>
      <c r="I21" s="28"/>
      <c r="L21" s="43" t="str">
        <f t="shared" si="0"/>
        <v>No</v>
      </c>
    </row>
    <row r="22" spans="1:12">
      <c r="A22" s="24"/>
      <c r="B22" s="25"/>
      <c r="C22" s="25"/>
      <c r="D22" s="25"/>
      <c r="E22" s="25"/>
      <c r="F22" s="26"/>
      <c r="G22" s="27"/>
      <c r="H22" s="28"/>
      <c r="I22" s="28"/>
      <c r="L22" s="43" t="str">
        <f t="shared" si="0"/>
        <v>No</v>
      </c>
    </row>
    <row r="23" spans="1:12">
      <c r="A23" s="24"/>
      <c r="B23" s="25"/>
      <c r="C23" s="25"/>
      <c r="D23" s="25"/>
      <c r="E23" s="25"/>
      <c r="F23" s="26"/>
      <c r="G23" s="27"/>
      <c r="H23" s="28"/>
      <c r="I23" s="28"/>
      <c r="L23" s="43" t="str">
        <f t="shared" si="0"/>
        <v>No</v>
      </c>
    </row>
    <row r="24" spans="1:12">
      <c r="A24" s="24"/>
      <c r="B24" s="25"/>
      <c r="C24" s="25"/>
      <c r="D24" s="25"/>
      <c r="E24" s="25"/>
      <c r="F24" s="26"/>
      <c r="G24" s="27"/>
      <c r="H24" s="28"/>
      <c r="I24" s="28"/>
      <c r="L24" s="43" t="str">
        <f t="shared" si="0"/>
        <v>No</v>
      </c>
    </row>
    <row r="25" spans="1:12">
      <c r="A25" s="24"/>
      <c r="B25" s="25"/>
      <c r="C25" s="25"/>
      <c r="D25" s="25"/>
      <c r="E25" s="25"/>
      <c r="F25" s="26"/>
      <c r="G25" s="27"/>
      <c r="H25" s="28"/>
      <c r="I25" s="28"/>
      <c r="L25" s="43" t="str">
        <f t="shared" si="0"/>
        <v>No</v>
      </c>
    </row>
    <row r="26" spans="1:12">
      <c r="A26" s="29"/>
      <c r="B26" s="30"/>
      <c r="C26" s="30"/>
      <c r="D26" s="30"/>
      <c r="E26" s="31" t="s">
        <v>65</v>
      </c>
      <c r="F26" s="32"/>
      <c r="G26" s="33"/>
      <c r="H26" s="34">
        <f>SUM(H27:H41)</f>
        <v>0</v>
      </c>
      <c r="I26" s="34">
        <f>SUM(I27:I41)</f>
        <v>0</v>
      </c>
      <c r="K26" s="42" t="s">
        <v>42</v>
      </c>
      <c r="L26" s="43" t="str">
        <f t="shared" si="0"/>
        <v>Yes</v>
      </c>
    </row>
    <row r="27" spans="1:12">
      <c r="A27" s="24"/>
      <c r="B27" s="25"/>
      <c r="C27" s="25"/>
      <c r="D27" s="25"/>
      <c r="E27" s="25"/>
      <c r="F27" s="26"/>
      <c r="G27" s="27"/>
      <c r="H27" s="28"/>
      <c r="I27" s="28"/>
      <c r="K27" s="42" t="s">
        <v>42</v>
      </c>
      <c r="L27" s="43" t="str">
        <f t="shared" si="0"/>
        <v>Yes</v>
      </c>
    </row>
    <row r="28" spans="1:12">
      <c r="A28" s="24"/>
      <c r="B28" s="25"/>
      <c r="C28" s="25"/>
      <c r="D28" s="25"/>
      <c r="E28" s="25"/>
      <c r="F28" s="26"/>
      <c r="G28" s="27"/>
      <c r="H28" s="28"/>
      <c r="I28" s="28"/>
      <c r="K28" s="42" t="s">
        <v>42</v>
      </c>
      <c r="L28" s="43" t="str">
        <f t="shared" si="0"/>
        <v>Yes</v>
      </c>
    </row>
    <row r="29" spans="1:12">
      <c r="A29" s="24"/>
      <c r="B29" s="25"/>
      <c r="C29" s="25"/>
      <c r="D29" s="25"/>
      <c r="E29" s="25"/>
      <c r="F29" s="26"/>
      <c r="G29" s="27"/>
      <c r="H29" s="28"/>
      <c r="I29" s="28"/>
      <c r="K29" s="42" t="s">
        <v>42</v>
      </c>
      <c r="L29" s="43" t="str">
        <f t="shared" si="0"/>
        <v>Yes</v>
      </c>
    </row>
    <row r="30" spans="1:12">
      <c r="A30" s="24"/>
      <c r="B30" s="25"/>
      <c r="C30" s="25"/>
      <c r="D30" s="25"/>
      <c r="E30" s="25"/>
      <c r="F30" s="26"/>
      <c r="G30" s="27"/>
      <c r="H30" s="28"/>
      <c r="I30" s="28"/>
      <c r="L30" s="43" t="str">
        <f t="shared" si="0"/>
        <v>No</v>
      </c>
    </row>
    <row r="31" spans="1:12">
      <c r="A31" s="24"/>
      <c r="B31" s="25"/>
      <c r="C31" s="25"/>
      <c r="D31" s="25"/>
      <c r="E31" s="25"/>
      <c r="F31" s="26"/>
      <c r="G31" s="27"/>
      <c r="H31" s="28"/>
      <c r="I31" s="28"/>
      <c r="L31" s="43" t="str">
        <f t="shared" si="0"/>
        <v>No</v>
      </c>
    </row>
    <row r="32" spans="1:12">
      <c r="A32" s="24"/>
      <c r="B32" s="25"/>
      <c r="C32" s="25"/>
      <c r="D32" s="25"/>
      <c r="E32" s="25"/>
      <c r="F32" s="26"/>
      <c r="G32" s="27"/>
      <c r="H32" s="28"/>
      <c r="I32" s="28"/>
      <c r="L32" s="43" t="str">
        <f t="shared" si="0"/>
        <v>No</v>
      </c>
    </row>
    <row r="33" spans="1:12">
      <c r="A33" s="24"/>
      <c r="B33" s="25"/>
      <c r="C33" s="25"/>
      <c r="D33" s="25"/>
      <c r="E33" s="25"/>
      <c r="F33" s="26"/>
      <c r="G33" s="27"/>
      <c r="H33" s="28"/>
      <c r="I33" s="28"/>
      <c r="L33" s="43" t="str">
        <f t="shared" si="0"/>
        <v>No</v>
      </c>
    </row>
    <row r="34" spans="1:12">
      <c r="A34" s="24"/>
      <c r="B34" s="25"/>
      <c r="C34" s="25"/>
      <c r="D34" s="25"/>
      <c r="E34" s="25"/>
      <c r="F34" s="26"/>
      <c r="G34" s="27"/>
      <c r="H34" s="28"/>
      <c r="I34" s="28"/>
      <c r="L34" s="43" t="str">
        <f t="shared" si="0"/>
        <v>No</v>
      </c>
    </row>
    <row r="35" spans="1:12">
      <c r="A35" s="24"/>
      <c r="B35" s="25"/>
      <c r="C35" s="25"/>
      <c r="D35" s="25"/>
      <c r="E35" s="25"/>
      <c r="F35" s="26"/>
      <c r="G35" s="27"/>
      <c r="H35" s="28"/>
      <c r="I35" s="28"/>
      <c r="L35" s="43" t="str">
        <f t="shared" si="0"/>
        <v>No</v>
      </c>
    </row>
    <row r="36" spans="1:12">
      <c r="A36" s="24"/>
      <c r="B36" s="25"/>
      <c r="C36" s="25"/>
      <c r="D36" s="25"/>
      <c r="E36" s="25"/>
      <c r="F36" s="26"/>
      <c r="G36" s="27"/>
      <c r="H36" s="28"/>
      <c r="I36" s="28"/>
      <c r="L36" s="43" t="str">
        <f t="shared" si="0"/>
        <v>No</v>
      </c>
    </row>
    <row r="37" spans="1:12">
      <c r="A37" s="24"/>
      <c r="B37" s="25"/>
      <c r="C37" s="25"/>
      <c r="D37" s="25"/>
      <c r="E37" s="25"/>
      <c r="F37" s="26"/>
      <c r="G37" s="27"/>
      <c r="H37" s="28"/>
      <c r="I37" s="28"/>
      <c r="L37" s="43" t="str">
        <f t="shared" si="0"/>
        <v>No</v>
      </c>
    </row>
    <row r="38" spans="1:12">
      <c r="A38" s="24"/>
      <c r="B38" s="25"/>
      <c r="C38" s="25"/>
      <c r="D38" s="25"/>
      <c r="E38" s="25"/>
      <c r="F38" s="26"/>
      <c r="G38" s="27"/>
      <c r="H38" s="28"/>
      <c r="I38" s="28"/>
      <c r="L38" s="43" t="str">
        <f t="shared" si="0"/>
        <v>No</v>
      </c>
    </row>
    <row r="39" spans="1:12">
      <c r="A39" s="24"/>
      <c r="B39" s="25"/>
      <c r="C39" s="25"/>
      <c r="D39" s="25"/>
      <c r="E39" s="25"/>
      <c r="F39" s="26"/>
      <c r="G39" s="27"/>
      <c r="H39" s="28"/>
      <c r="I39" s="28"/>
      <c r="L39" s="43" t="str">
        <f t="shared" si="0"/>
        <v>No</v>
      </c>
    </row>
    <row r="40" spans="1:12">
      <c r="A40" s="24"/>
      <c r="B40" s="25"/>
      <c r="C40" s="25"/>
      <c r="D40" s="25"/>
      <c r="E40" s="25"/>
      <c r="F40" s="26"/>
      <c r="G40" s="27"/>
      <c r="H40" s="28"/>
      <c r="I40" s="28"/>
      <c r="L40" s="43" t="str">
        <f t="shared" si="0"/>
        <v>No</v>
      </c>
    </row>
    <row r="41" spans="1:12">
      <c r="A41" s="24"/>
      <c r="B41" s="25"/>
      <c r="C41" s="25"/>
      <c r="D41" s="25"/>
      <c r="E41" s="25"/>
      <c r="F41" s="26"/>
      <c r="G41" s="27"/>
      <c r="H41" s="28"/>
      <c r="I41" s="28"/>
      <c r="L41" s="43" t="str">
        <f t="shared" si="0"/>
        <v>No</v>
      </c>
    </row>
    <row r="42" spans="1:12">
      <c r="A42" s="29"/>
      <c r="B42" s="30"/>
      <c r="C42" s="30"/>
      <c r="D42" s="30"/>
      <c r="E42" s="31" t="s">
        <v>67</v>
      </c>
      <c r="F42" s="32"/>
      <c r="G42" s="33"/>
      <c r="H42" s="34">
        <f>SUM(H43:H62)</f>
        <v>0</v>
      </c>
      <c r="I42" s="34">
        <f>SUM(I43:I62)</f>
        <v>0</v>
      </c>
      <c r="K42" s="42" t="s">
        <v>42</v>
      </c>
      <c r="L42" s="43" t="str">
        <f t="shared" si="0"/>
        <v>Yes</v>
      </c>
    </row>
    <row r="43" spans="1:12">
      <c r="A43" s="24"/>
      <c r="B43" s="25"/>
      <c r="C43" s="25"/>
      <c r="D43" s="25"/>
      <c r="E43" s="25"/>
      <c r="F43" s="26"/>
      <c r="G43" s="27"/>
      <c r="H43" s="28"/>
      <c r="I43" s="28"/>
      <c r="K43" s="42" t="s">
        <v>42</v>
      </c>
      <c r="L43" s="43" t="str">
        <f t="shared" si="0"/>
        <v>Yes</v>
      </c>
    </row>
    <row r="44" spans="1:12">
      <c r="A44" s="24"/>
      <c r="B44" s="25"/>
      <c r="C44" s="25"/>
      <c r="D44" s="25"/>
      <c r="E44" s="25"/>
      <c r="F44" s="26"/>
      <c r="G44" s="27"/>
      <c r="H44" s="28"/>
      <c r="I44" s="28"/>
      <c r="K44" s="42" t="s">
        <v>42</v>
      </c>
      <c r="L44" s="43" t="str">
        <f t="shared" si="0"/>
        <v>Yes</v>
      </c>
    </row>
    <row r="45" spans="1:12">
      <c r="A45" s="24"/>
      <c r="B45" s="25"/>
      <c r="C45" s="25"/>
      <c r="D45" s="25"/>
      <c r="E45" s="25"/>
      <c r="F45" s="26"/>
      <c r="G45" s="27"/>
      <c r="H45" s="28"/>
      <c r="I45" s="28"/>
      <c r="K45" s="42" t="s">
        <v>42</v>
      </c>
      <c r="L45" s="43" t="str">
        <f t="shared" si="0"/>
        <v>Yes</v>
      </c>
    </row>
    <row r="46" spans="1:12">
      <c r="A46" s="24"/>
      <c r="B46" s="25"/>
      <c r="C46" s="25"/>
      <c r="D46" s="25"/>
      <c r="E46" s="25"/>
      <c r="F46" s="26"/>
      <c r="G46" s="27"/>
      <c r="H46" s="28"/>
      <c r="I46" s="28"/>
      <c r="L46" s="43" t="str">
        <f t="shared" si="0"/>
        <v>No</v>
      </c>
    </row>
    <row r="47" spans="1:12">
      <c r="A47" s="24"/>
      <c r="B47" s="25"/>
      <c r="C47" s="25"/>
      <c r="D47" s="25"/>
      <c r="E47" s="25"/>
      <c r="F47" s="26"/>
      <c r="G47" s="27"/>
      <c r="H47" s="28"/>
      <c r="I47" s="28"/>
      <c r="L47" s="43" t="str">
        <f t="shared" si="0"/>
        <v>No</v>
      </c>
    </row>
    <row r="48" spans="1:12">
      <c r="A48" s="24"/>
      <c r="B48" s="25"/>
      <c r="C48" s="25"/>
      <c r="D48" s="25"/>
      <c r="E48" s="25"/>
      <c r="F48" s="26"/>
      <c r="G48" s="27"/>
      <c r="H48" s="28"/>
      <c r="I48" s="28"/>
      <c r="L48" s="43" t="str">
        <f t="shared" si="0"/>
        <v>No</v>
      </c>
    </row>
    <row r="49" spans="1:12">
      <c r="A49" s="24"/>
      <c r="B49" s="25"/>
      <c r="C49" s="25"/>
      <c r="D49" s="25"/>
      <c r="E49" s="25"/>
      <c r="F49" s="26"/>
      <c r="G49" s="27"/>
      <c r="H49" s="28"/>
      <c r="I49" s="28"/>
      <c r="L49" s="43" t="str">
        <f t="shared" si="0"/>
        <v>No</v>
      </c>
    </row>
    <row r="50" spans="1:12">
      <c r="A50" s="24"/>
      <c r="B50" s="25"/>
      <c r="C50" s="25"/>
      <c r="D50" s="25"/>
      <c r="E50" s="25"/>
      <c r="F50" s="26"/>
      <c r="G50" s="27"/>
      <c r="H50" s="28"/>
      <c r="I50" s="28"/>
      <c r="L50" s="43" t="str">
        <f t="shared" si="0"/>
        <v>No</v>
      </c>
    </row>
    <row r="51" spans="1:12">
      <c r="A51" s="24"/>
      <c r="B51" s="25"/>
      <c r="C51" s="25"/>
      <c r="D51" s="25"/>
      <c r="E51" s="25"/>
      <c r="F51" s="26"/>
      <c r="G51" s="27"/>
      <c r="H51" s="28"/>
      <c r="I51" s="28"/>
      <c r="L51" s="43" t="str">
        <f t="shared" si="0"/>
        <v>No</v>
      </c>
    </row>
    <row r="52" spans="1:12">
      <c r="A52" s="24"/>
      <c r="B52" s="25"/>
      <c r="C52" s="25"/>
      <c r="D52" s="25"/>
      <c r="E52" s="25"/>
      <c r="F52" s="26"/>
      <c r="G52" s="27"/>
      <c r="H52" s="28"/>
      <c r="I52" s="28"/>
      <c r="L52" s="43" t="str">
        <f t="shared" si="0"/>
        <v>No</v>
      </c>
    </row>
    <row r="53" spans="1:12">
      <c r="A53" s="24"/>
      <c r="B53" s="25"/>
      <c r="C53" s="25"/>
      <c r="D53" s="25"/>
      <c r="E53" s="25"/>
      <c r="F53" s="26"/>
      <c r="G53" s="27"/>
      <c r="H53" s="28"/>
      <c r="I53" s="28"/>
      <c r="L53" s="43" t="str">
        <f t="shared" si="0"/>
        <v>No</v>
      </c>
    </row>
    <row r="54" spans="1:12">
      <c r="A54" s="24"/>
      <c r="B54" s="25"/>
      <c r="C54" s="25"/>
      <c r="D54" s="25"/>
      <c r="E54" s="25"/>
      <c r="F54" s="26"/>
      <c r="G54" s="27"/>
      <c r="H54" s="28"/>
      <c r="I54" s="28"/>
      <c r="L54" s="43" t="str">
        <f t="shared" si="0"/>
        <v>No</v>
      </c>
    </row>
    <row r="55" spans="1:12">
      <c r="A55" s="24"/>
      <c r="B55" s="25"/>
      <c r="C55" s="25"/>
      <c r="D55" s="25"/>
      <c r="E55" s="25"/>
      <c r="F55" s="26"/>
      <c r="G55" s="27"/>
      <c r="H55" s="28"/>
      <c r="I55" s="28"/>
      <c r="L55" s="43" t="str">
        <f t="shared" si="0"/>
        <v>No</v>
      </c>
    </row>
    <row r="56" spans="1:12">
      <c r="A56" s="24"/>
      <c r="B56" s="25"/>
      <c r="C56" s="25"/>
      <c r="D56" s="25"/>
      <c r="E56" s="25"/>
      <c r="F56" s="26"/>
      <c r="G56" s="27"/>
      <c r="H56" s="28"/>
      <c r="I56" s="28"/>
      <c r="L56" s="43" t="str">
        <f t="shared" si="0"/>
        <v>No</v>
      </c>
    </row>
    <row r="57" spans="1:12">
      <c r="A57" s="24"/>
      <c r="B57" s="25"/>
      <c r="C57" s="25"/>
      <c r="D57" s="25"/>
      <c r="E57" s="25"/>
      <c r="F57" s="26"/>
      <c r="G57" s="27"/>
      <c r="H57" s="28"/>
      <c r="I57" s="28"/>
      <c r="L57" s="43" t="str">
        <f t="shared" si="0"/>
        <v>No</v>
      </c>
    </row>
    <row r="58" spans="1:12">
      <c r="A58" s="24"/>
      <c r="B58" s="25"/>
      <c r="C58" s="25"/>
      <c r="D58" s="25"/>
      <c r="E58" s="25"/>
      <c r="F58" s="26"/>
      <c r="G58" s="27"/>
      <c r="H58" s="28"/>
      <c r="I58" s="28"/>
      <c r="L58" s="43" t="str">
        <f t="shared" si="0"/>
        <v>No</v>
      </c>
    </row>
    <row r="59" spans="1:12">
      <c r="A59" s="24"/>
      <c r="B59" s="25"/>
      <c r="C59" s="25"/>
      <c r="D59" s="25"/>
      <c r="E59" s="25"/>
      <c r="F59" s="26"/>
      <c r="G59" s="27"/>
      <c r="H59" s="28"/>
      <c r="I59" s="28"/>
      <c r="L59" s="43" t="str">
        <f t="shared" si="0"/>
        <v>No</v>
      </c>
    </row>
    <row r="60" spans="1:12">
      <c r="A60" s="24"/>
      <c r="B60" s="25"/>
      <c r="C60" s="25"/>
      <c r="D60" s="25"/>
      <c r="E60" s="25"/>
      <c r="F60" s="26"/>
      <c r="G60" s="27"/>
      <c r="H60" s="28"/>
      <c r="I60" s="28"/>
      <c r="L60" s="43" t="str">
        <f t="shared" si="0"/>
        <v>No</v>
      </c>
    </row>
    <row r="61" spans="1:12">
      <c r="A61" s="24"/>
      <c r="B61" s="25"/>
      <c r="C61" s="25"/>
      <c r="D61" s="25"/>
      <c r="E61" s="25"/>
      <c r="F61" s="26"/>
      <c r="G61" s="27"/>
      <c r="H61" s="28"/>
      <c r="I61" s="28"/>
      <c r="L61" s="43" t="str">
        <f t="shared" si="0"/>
        <v>No</v>
      </c>
    </row>
    <row r="62" spans="1:12">
      <c r="A62" s="24"/>
      <c r="B62" s="25"/>
      <c r="C62" s="25"/>
      <c r="D62" s="25"/>
      <c r="E62" s="25"/>
      <c r="F62" s="26"/>
      <c r="G62" s="27"/>
      <c r="H62" s="28"/>
      <c r="I62" s="28"/>
      <c r="L62" s="43" t="str">
        <f t="shared" si="0"/>
        <v>No</v>
      </c>
    </row>
    <row r="63" spans="1:12" ht="24">
      <c r="A63" s="35"/>
      <c r="B63" s="36"/>
      <c r="C63" s="36"/>
      <c r="D63" s="36"/>
      <c r="E63" s="37" t="s">
        <v>68</v>
      </c>
      <c r="F63" s="38"/>
      <c r="G63" s="39"/>
      <c r="H63" s="40">
        <f>H10+H26-H42</f>
        <v>0</v>
      </c>
      <c r="I63" s="40">
        <f>I10+I26-I42</f>
        <v>0</v>
      </c>
      <c r="K63" s="42" t="s">
        <v>42</v>
      </c>
      <c r="L63" s="43" t="str">
        <f t="shared" si="0"/>
        <v>Yes</v>
      </c>
    </row>
    <row r="64" spans="1:12">
      <c r="A64" s="29"/>
      <c r="B64" s="30"/>
      <c r="C64" s="30"/>
      <c r="D64" s="30"/>
      <c r="E64" s="31" t="s">
        <v>69</v>
      </c>
      <c r="F64" s="32"/>
      <c r="G64" s="33"/>
      <c r="H64" s="34">
        <f>SUM(H65:H74)</f>
        <v>0</v>
      </c>
      <c r="I64" s="34">
        <f>SUM(I65:I74)</f>
        <v>0</v>
      </c>
      <c r="K64" s="42" t="s">
        <v>42</v>
      </c>
      <c r="L64" s="43" t="str">
        <f t="shared" si="0"/>
        <v>Yes</v>
      </c>
    </row>
    <row r="65" spans="1:12">
      <c r="A65" s="24"/>
      <c r="B65" s="25"/>
      <c r="C65" s="25"/>
      <c r="D65" s="25"/>
      <c r="E65" s="25"/>
      <c r="F65" s="26"/>
      <c r="G65" s="27"/>
      <c r="H65" s="28"/>
      <c r="I65" s="28"/>
      <c r="K65" s="42" t="s">
        <v>42</v>
      </c>
      <c r="L65" s="43" t="str">
        <f t="shared" si="0"/>
        <v>Yes</v>
      </c>
    </row>
    <row r="66" spans="1:12">
      <c r="A66" s="24"/>
      <c r="B66" s="25"/>
      <c r="C66" s="25"/>
      <c r="D66" s="25"/>
      <c r="E66" s="25"/>
      <c r="F66" s="26"/>
      <c r="G66" s="27"/>
      <c r="H66" s="28"/>
      <c r="I66" s="28"/>
      <c r="K66" s="42" t="s">
        <v>42</v>
      </c>
      <c r="L66" s="43" t="str">
        <f t="shared" si="0"/>
        <v>Yes</v>
      </c>
    </row>
    <row r="67" spans="1:12">
      <c r="A67" s="24"/>
      <c r="B67" s="25"/>
      <c r="C67" s="25"/>
      <c r="D67" s="25"/>
      <c r="E67" s="25"/>
      <c r="F67" s="26"/>
      <c r="G67" s="27"/>
      <c r="H67" s="28"/>
      <c r="I67" s="28"/>
      <c r="K67" s="42" t="s">
        <v>42</v>
      </c>
      <c r="L67" s="43" t="str">
        <f t="shared" ref="L67:L102" si="1">IF(K67&lt;&gt;"",K67,IF(AND(A67="",D67="",E67="",H67="",I67=""),"No","Yes"))</f>
        <v>Yes</v>
      </c>
    </row>
    <row r="68" spans="1:12">
      <c r="A68" s="24"/>
      <c r="B68" s="25"/>
      <c r="C68" s="25"/>
      <c r="D68" s="25"/>
      <c r="E68" s="25"/>
      <c r="F68" s="26"/>
      <c r="G68" s="27"/>
      <c r="H68" s="28"/>
      <c r="I68" s="28"/>
      <c r="L68" s="43" t="str">
        <f t="shared" si="1"/>
        <v>No</v>
      </c>
    </row>
    <row r="69" spans="1:12">
      <c r="A69" s="24"/>
      <c r="B69" s="25"/>
      <c r="C69" s="25"/>
      <c r="D69" s="25"/>
      <c r="E69" s="25"/>
      <c r="F69" s="26"/>
      <c r="G69" s="27"/>
      <c r="H69" s="28"/>
      <c r="I69" s="28"/>
      <c r="L69" s="43" t="str">
        <f t="shared" si="1"/>
        <v>No</v>
      </c>
    </row>
    <row r="70" spans="1:12">
      <c r="A70" s="24"/>
      <c r="B70" s="25"/>
      <c r="C70" s="25"/>
      <c r="D70" s="25"/>
      <c r="E70" s="25"/>
      <c r="F70" s="26"/>
      <c r="G70" s="27"/>
      <c r="H70" s="28"/>
      <c r="I70" s="28"/>
      <c r="L70" s="43" t="str">
        <f t="shared" si="1"/>
        <v>No</v>
      </c>
    </row>
    <row r="71" spans="1:12">
      <c r="A71" s="24"/>
      <c r="B71" s="25"/>
      <c r="C71" s="25"/>
      <c r="D71" s="25"/>
      <c r="E71" s="25"/>
      <c r="F71" s="26"/>
      <c r="G71" s="27"/>
      <c r="H71" s="28"/>
      <c r="I71" s="28"/>
      <c r="L71" s="43" t="str">
        <f t="shared" si="1"/>
        <v>No</v>
      </c>
    </row>
    <row r="72" spans="1:12">
      <c r="A72" s="24"/>
      <c r="B72" s="25"/>
      <c r="C72" s="25"/>
      <c r="D72" s="25"/>
      <c r="E72" s="25"/>
      <c r="F72" s="26"/>
      <c r="G72" s="27"/>
      <c r="H72" s="28"/>
      <c r="I72" s="28"/>
      <c r="L72" s="43" t="str">
        <f t="shared" si="1"/>
        <v>No</v>
      </c>
    </row>
    <row r="73" spans="1:12">
      <c r="A73" s="24"/>
      <c r="B73" s="25"/>
      <c r="C73" s="25"/>
      <c r="D73" s="25"/>
      <c r="E73" s="25"/>
      <c r="F73" s="26"/>
      <c r="G73" s="27"/>
      <c r="H73" s="28"/>
      <c r="I73" s="28"/>
      <c r="L73" s="43" t="str">
        <f t="shared" si="1"/>
        <v>No</v>
      </c>
    </row>
    <row r="74" spans="1:12">
      <c r="A74" s="24"/>
      <c r="B74" s="25"/>
      <c r="C74" s="25"/>
      <c r="D74" s="25"/>
      <c r="E74" s="25"/>
      <c r="F74" s="26"/>
      <c r="G74" s="27"/>
      <c r="H74" s="28"/>
      <c r="I74" s="28"/>
      <c r="L74" s="43" t="str">
        <f t="shared" si="1"/>
        <v>No</v>
      </c>
    </row>
    <row r="75" spans="1:12">
      <c r="A75" s="29"/>
      <c r="B75" s="30"/>
      <c r="C75" s="30"/>
      <c r="D75" s="30"/>
      <c r="E75" s="31" t="s">
        <v>70</v>
      </c>
      <c r="F75" s="32"/>
      <c r="G75" s="33"/>
      <c r="H75" s="34">
        <f>SUM(H76:H87)</f>
        <v>0</v>
      </c>
      <c r="I75" s="34">
        <f>SUM(I76:I87)</f>
        <v>0</v>
      </c>
      <c r="K75" s="42" t="s">
        <v>42</v>
      </c>
      <c r="L75" s="43" t="str">
        <f t="shared" si="1"/>
        <v>Yes</v>
      </c>
    </row>
    <row r="76" spans="1:12">
      <c r="A76" s="24"/>
      <c r="B76" s="25"/>
      <c r="C76" s="25"/>
      <c r="D76" s="25"/>
      <c r="E76" s="25"/>
      <c r="F76" s="26"/>
      <c r="G76" s="27"/>
      <c r="H76" s="28"/>
      <c r="I76" s="28"/>
      <c r="K76" s="42" t="s">
        <v>42</v>
      </c>
      <c r="L76" s="43" t="str">
        <f t="shared" si="1"/>
        <v>Yes</v>
      </c>
    </row>
    <row r="77" spans="1:12">
      <c r="A77" s="24"/>
      <c r="B77" s="25"/>
      <c r="C77" s="25"/>
      <c r="D77" s="25"/>
      <c r="E77" s="25"/>
      <c r="F77" s="26"/>
      <c r="G77" s="27"/>
      <c r="H77" s="28"/>
      <c r="I77" s="28"/>
      <c r="K77" s="42" t="s">
        <v>42</v>
      </c>
      <c r="L77" s="43" t="str">
        <f t="shared" si="1"/>
        <v>Yes</v>
      </c>
    </row>
    <row r="78" spans="1:12">
      <c r="A78" s="24"/>
      <c r="B78" s="25"/>
      <c r="C78" s="25"/>
      <c r="D78" s="25"/>
      <c r="E78" s="25"/>
      <c r="F78" s="26"/>
      <c r="G78" s="27"/>
      <c r="H78" s="28"/>
      <c r="I78" s="28"/>
      <c r="K78" s="42" t="s">
        <v>42</v>
      </c>
      <c r="L78" s="43" t="str">
        <f t="shared" si="1"/>
        <v>Yes</v>
      </c>
    </row>
    <row r="79" spans="1:12">
      <c r="A79" s="24"/>
      <c r="B79" s="25"/>
      <c r="C79" s="25"/>
      <c r="D79" s="25"/>
      <c r="E79" s="25"/>
      <c r="F79" s="26"/>
      <c r="G79" s="27"/>
      <c r="H79" s="28"/>
      <c r="I79" s="28"/>
      <c r="L79" s="43" t="str">
        <f t="shared" si="1"/>
        <v>No</v>
      </c>
    </row>
    <row r="80" spans="1:12">
      <c r="A80" s="24"/>
      <c r="B80" s="25"/>
      <c r="C80" s="25"/>
      <c r="D80" s="25"/>
      <c r="E80" s="25"/>
      <c r="F80" s="26"/>
      <c r="G80" s="27"/>
      <c r="H80" s="28"/>
      <c r="I80" s="28"/>
      <c r="L80" s="43" t="str">
        <f t="shared" si="1"/>
        <v>No</v>
      </c>
    </row>
    <row r="81" spans="1:12">
      <c r="A81" s="24"/>
      <c r="B81" s="25"/>
      <c r="C81" s="25"/>
      <c r="D81" s="25"/>
      <c r="E81" s="25"/>
      <c r="F81" s="26"/>
      <c r="G81" s="27"/>
      <c r="H81" s="28"/>
      <c r="I81" s="28"/>
      <c r="L81" s="43" t="str">
        <f t="shared" si="1"/>
        <v>No</v>
      </c>
    </row>
    <row r="82" spans="1:12">
      <c r="A82" s="24"/>
      <c r="B82" s="25"/>
      <c r="C82" s="25"/>
      <c r="D82" s="25"/>
      <c r="E82" s="25"/>
      <c r="F82" s="26"/>
      <c r="G82" s="27"/>
      <c r="H82" s="28"/>
      <c r="I82" s="28"/>
      <c r="L82" s="43" t="str">
        <f t="shared" si="1"/>
        <v>No</v>
      </c>
    </row>
    <row r="83" spans="1:12">
      <c r="A83" s="24"/>
      <c r="B83" s="25"/>
      <c r="C83" s="25"/>
      <c r="D83" s="25"/>
      <c r="E83" s="25"/>
      <c r="F83" s="26"/>
      <c r="G83" s="27"/>
      <c r="H83" s="28"/>
      <c r="I83" s="28"/>
      <c r="L83" s="43" t="str">
        <f t="shared" si="1"/>
        <v>No</v>
      </c>
    </row>
    <row r="84" spans="1:12">
      <c r="A84" s="24"/>
      <c r="B84" s="25"/>
      <c r="C84" s="25"/>
      <c r="D84" s="25"/>
      <c r="E84" s="25"/>
      <c r="F84" s="26"/>
      <c r="G84" s="27"/>
      <c r="H84" s="28"/>
      <c r="I84" s="28"/>
      <c r="L84" s="43" t="str">
        <f t="shared" si="1"/>
        <v>No</v>
      </c>
    </row>
    <row r="85" spans="1:12">
      <c r="A85" s="24"/>
      <c r="B85" s="25"/>
      <c r="C85" s="25"/>
      <c r="D85" s="25"/>
      <c r="E85" s="25"/>
      <c r="F85" s="26"/>
      <c r="G85" s="27"/>
      <c r="H85" s="28"/>
      <c r="I85" s="28"/>
      <c r="L85" s="43" t="str">
        <f t="shared" si="1"/>
        <v>No</v>
      </c>
    </row>
    <row r="86" spans="1:12">
      <c r="A86" s="24"/>
      <c r="B86" s="25"/>
      <c r="C86" s="25"/>
      <c r="D86" s="25"/>
      <c r="E86" s="25"/>
      <c r="F86" s="26"/>
      <c r="G86" s="27"/>
      <c r="H86" s="28"/>
      <c r="I86" s="28"/>
      <c r="L86" s="43" t="str">
        <f t="shared" si="1"/>
        <v>No</v>
      </c>
    </row>
    <row r="87" spans="1:12">
      <c r="A87" s="24"/>
      <c r="B87" s="25"/>
      <c r="C87" s="25"/>
      <c r="D87" s="25"/>
      <c r="E87" s="25"/>
      <c r="F87" s="26"/>
      <c r="G87" s="27"/>
      <c r="H87" s="28"/>
      <c r="I87" s="28"/>
      <c r="L87" s="43" t="str">
        <f t="shared" si="1"/>
        <v>No</v>
      </c>
    </row>
    <row r="88" spans="1:12" ht="24">
      <c r="A88" s="48"/>
      <c r="B88" s="49"/>
      <c r="C88" s="49"/>
      <c r="D88" s="49"/>
      <c r="E88" s="50" t="s">
        <v>195</v>
      </c>
      <c r="F88" s="51"/>
      <c r="G88" s="52"/>
      <c r="H88" s="53">
        <f>H63+H64-H75</f>
        <v>0</v>
      </c>
      <c r="I88" s="53">
        <f>I63+I64-I75</f>
        <v>0</v>
      </c>
      <c r="K88" s="42" t="s">
        <v>42</v>
      </c>
      <c r="L88" s="43" t="str">
        <f t="shared" si="1"/>
        <v>Yes</v>
      </c>
    </row>
    <row r="89" spans="1:12">
      <c r="K89" s="42" t="s">
        <v>42</v>
      </c>
      <c r="L89" s="43" t="str">
        <f t="shared" si="1"/>
        <v>Yes</v>
      </c>
    </row>
    <row r="90" spans="1:12">
      <c r="K90" s="42" t="s">
        <v>42</v>
      </c>
      <c r="L90" s="43" t="str">
        <f t="shared" si="1"/>
        <v>Yes</v>
      </c>
    </row>
    <row r="91" spans="1:12">
      <c r="D91" s="54" t="s">
        <v>77</v>
      </c>
      <c r="I91" s="12"/>
      <c r="K91" s="42" t="s">
        <v>42</v>
      </c>
      <c r="L91" s="43" t="str">
        <f t="shared" si="1"/>
        <v>Yes</v>
      </c>
    </row>
    <row r="92" spans="1:12">
      <c r="D92" s="55"/>
      <c r="I92" s="12"/>
      <c r="K92" s="42" t="s">
        <v>42</v>
      </c>
      <c r="L92" s="43" t="str">
        <f t="shared" si="1"/>
        <v>Yes</v>
      </c>
    </row>
    <row r="93" spans="1:12">
      <c r="D93" s="55"/>
      <c r="E93" s="56" t="s">
        <v>196</v>
      </c>
      <c r="F93" s="56"/>
      <c r="G93" s="56"/>
      <c r="H93" s="57"/>
      <c r="I93" s="12"/>
      <c r="K93" s="42" t="s">
        <v>42</v>
      </c>
      <c r="L93" s="43" t="str">
        <f t="shared" si="1"/>
        <v>Yes</v>
      </c>
    </row>
    <row r="94" spans="1:12">
      <c r="D94" s="55"/>
      <c r="E94" s="58" t="s">
        <v>79</v>
      </c>
      <c r="F94" s="58"/>
      <c r="G94" s="58"/>
      <c r="H94" s="57"/>
      <c r="I94" s="12"/>
      <c r="K94" s="42" t="s">
        <v>42</v>
      </c>
      <c r="L94" s="43" t="str">
        <f t="shared" si="1"/>
        <v>Yes</v>
      </c>
    </row>
    <row r="95" spans="1:12">
      <c r="D95" s="55"/>
      <c r="E95" s="56"/>
      <c r="F95" s="56"/>
      <c r="G95" s="56"/>
      <c r="H95" s="57"/>
      <c r="I95" s="12"/>
      <c r="K95" s="42" t="s">
        <v>42</v>
      </c>
      <c r="L95" s="43" t="str">
        <f t="shared" si="1"/>
        <v>Yes</v>
      </c>
    </row>
    <row r="96" spans="1:12">
      <c r="D96" s="55"/>
      <c r="E96" s="56" t="s">
        <v>197</v>
      </c>
      <c r="F96" s="56"/>
      <c r="G96" s="56"/>
      <c r="H96" s="57"/>
      <c r="I96" s="12"/>
      <c r="K96" s="42" t="s">
        <v>42</v>
      </c>
      <c r="L96" s="43" t="str">
        <f t="shared" si="1"/>
        <v>Yes</v>
      </c>
    </row>
    <row r="97" spans="4:12">
      <c r="D97" s="55"/>
      <c r="E97" s="58" t="s">
        <v>79</v>
      </c>
      <c r="F97" s="58"/>
      <c r="G97" s="58"/>
      <c r="H97" s="57"/>
      <c r="I97" s="12"/>
      <c r="K97" s="42" t="s">
        <v>42</v>
      </c>
      <c r="L97" s="43" t="str">
        <f t="shared" si="1"/>
        <v>Yes</v>
      </c>
    </row>
    <row r="98" spans="4:12">
      <c r="K98" s="42" t="s">
        <v>42</v>
      </c>
      <c r="L98" s="43" t="str">
        <f t="shared" si="1"/>
        <v>Yes</v>
      </c>
    </row>
    <row r="99" spans="4:12">
      <c r="K99" s="42" t="s">
        <v>42</v>
      </c>
      <c r="L99" s="43" t="str">
        <f t="shared" si="1"/>
        <v>Yes</v>
      </c>
    </row>
    <row r="100" spans="4:12">
      <c r="K100" s="42" t="s">
        <v>42</v>
      </c>
      <c r="L100" s="43" t="str">
        <f t="shared" si="1"/>
        <v>Yes</v>
      </c>
    </row>
    <row r="101" spans="4:12">
      <c r="K101" s="42" t="s">
        <v>42</v>
      </c>
      <c r="L101" s="43" t="str">
        <f t="shared" si="1"/>
        <v>Yes</v>
      </c>
    </row>
    <row r="102" spans="4:12">
      <c r="L102" s="43" t="str">
        <f t="shared" si="1"/>
        <v>No</v>
      </c>
    </row>
  </sheetData>
  <autoFilter ref="L1:L102" xr:uid="{00000000-0009-0000-0000-000007000000}"/>
  <mergeCells count="13">
    <mergeCell ref="H8:I8"/>
    <mergeCell ref="A8:A9"/>
    <mergeCell ref="B8:B9"/>
    <mergeCell ref="C8:C9"/>
    <mergeCell ref="D8:D9"/>
    <mergeCell ref="E8:E9"/>
    <mergeCell ref="F8:F9"/>
    <mergeCell ref="G8:G9"/>
    <mergeCell ref="A2:I2"/>
    <mergeCell ref="A3:I3"/>
    <mergeCell ref="N3:O3"/>
    <mergeCell ref="A4:I4"/>
    <mergeCell ref="A5:I5"/>
  </mergeCells>
  <conditionalFormatting sqref="L1">
    <cfRule type="cellIs" dxfId="0" priority="1" operator="equal">
      <formula>"Hide"</formula>
    </cfRule>
  </conditionalFormatting>
  <dataValidations count="2">
    <dataValidation type="list" allowBlank="1" showDropDown="1" showInputMessage="1" showErrorMessage="1" sqref="L1" xr:uid="{00000000-0002-0000-0700-000000000000}">
      <formula1>"Hide,Unhide"</formula1>
    </dataValidation>
    <dataValidation type="list" allowBlank="1" showInputMessage="1" showErrorMessage="1" sqref="O5" xr:uid="{00000000-0002-0000-0700-000001000000}">
      <formula1>"KASIKORNTHAI PLC.,KRUNGTHAI PLC."</formula1>
    </dataValidation>
  </dataValidations>
  <pageMargins left="0.43888888888888899" right="0.235416666666667" top="0.33888888888888902" bottom="0.18888888888888899" header="0.329166666666667" footer="0.31388888888888899"/>
  <pageSetup paperSize="9" scale="60" fitToWidth="2" fitToHeight="2" orientation="portrait"/>
  <colBreaks count="1" manualBreakCount="1">
    <brk id="9" max="102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theme="5" tint="-0.249977111117893"/>
  </sheetPr>
  <dimension ref="A1:B9"/>
  <sheetViews>
    <sheetView zoomScale="130" zoomScaleNormal="130" workbookViewId="0">
      <selection activeCell="B9" sqref="B9"/>
    </sheetView>
  </sheetViews>
  <sheetFormatPr defaultColWidth="9.140625" defaultRowHeight="15"/>
  <cols>
    <col min="1" max="1" width="19.28515625" style="1" customWidth="1"/>
    <col min="2" max="2" width="54.42578125" style="1" customWidth="1"/>
    <col min="3" max="16384" width="9.140625" style="1"/>
  </cols>
  <sheetData>
    <row r="1" spans="1:2" ht="21">
      <c r="A1" s="477" t="s">
        <v>176</v>
      </c>
      <c r="B1" s="478"/>
    </row>
    <row r="2" spans="1:2" ht="21">
      <c r="A2" s="2" t="s">
        <v>178</v>
      </c>
      <c r="B2" s="3"/>
    </row>
    <row r="3" spans="1:2" ht="21">
      <c r="A3" s="4" t="s">
        <v>180</v>
      </c>
      <c r="B3" s="5" t="s">
        <v>181</v>
      </c>
    </row>
    <row r="4" spans="1:2" ht="21">
      <c r="A4" s="4" t="s">
        <v>183</v>
      </c>
      <c r="B4" s="6">
        <f>IF(B3="KRUNGTHAI PLC.",3856001840,IF(B3="KASIKORNTHAI PLC.","",""))</f>
        <v>3856001840</v>
      </c>
    </row>
    <row r="5" spans="1:2" ht="18.75">
      <c r="A5" s="4" t="s">
        <v>184</v>
      </c>
      <c r="B5" s="7" t="s">
        <v>185</v>
      </c>
    </row>
    <row r="6" spans="1:2" ht="21">
      <c r="A6" s="4" t="s">
        <v>189</v>
      </c>
      <c r="B6" s="6" t="str">
        <f>IF(B3="KRUNGTHAI PLC.","KRTHTHBK",IF(B3="KASIKORNTHAI PLC.","KASITHBK",""))</f>
        <v>KRTHTHBK</v>
      </c>
    </row>
    <row r="7" spans="1:2" ht="21">
      <c r="A7" s="4" t="s">
        <v>191</v>
      </c>
      <c r="B7" s="8" t="str">
        <f>'1. ทะเบียนคุมรับ-จ่าย'!H8</f>
        <v>USD</v>
      </c>
    </row>
    <row r="8" spans="1:2" ht="21">
      <c r="A8" s="4" t="s">
        <v>193</v>
      </c>
      <c r="B8" s="9"/>
    </row>
    <row r="9" spans="1:2" ht="21">
      <c r="A9" s="4" t="s">
        <v>206</v>
      </c>
      <c r="B9" s="6" t="e">
        <f>#REF!&amp;" ("&amp;#REF!&amp;")"</f>
        <v>#REF!</v>
      </c>
    </row>
  </sheetData>
  <mergeCells count="1">
    <mergeCell ref="A1:B1"/>
  </mergeCells>
  <dataValidations count="1">
    <dataValidation type="list" allowBlank="1" showInputMessage="1" showErrorMessage="1" sqref="B3" xr:uid="{00000000-0002-0000-0800-000000000000}">
      <formula1>"KASIKORNTHAI PLC.,KRUNGTHAI PLC."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การจัดส่งเอกสาร</vt:lpstr>
      <vt:lpstr>1. ทะเบียนคุมรับ-จ่าย</vt:lpstr>
      <vt:lpstr>2. หน้างบรายจ่าย</vt:lpstr>
      <vt:lpstr>3.งบเทียบยอด (USD)</vt:lpstr>
      <vt:lpstr>3.งบเทียบยอด (php)</vt:lpstr>
      <vt:lpstr>4.แบบฟอร์มรายงานเงินคงเหลือUSD</vt:lpstr>
      <vt:lpstr>4.แบบฟอร์มรายงานเงินคงเหลือ Php</vt:lpstr>
      <vt:lpstr>5. ทะเบียนคุมโครงการ</vt:lpstr>
      <vt:lpstr>6.ทะเบียนคุมโครงการ (เก็บเงิน)</vt:lpstr>
      <vt:lpstr>7.ทะเบียนคุมครุภัณฑ์</vt:lpstr>
      <vt:lpstr>Print คืนเงินงบประจำ</vt:lpstr>
      <vt:lpstr>'1. ทะเบียนคุมรับ-จ่าย'!Print_Area</vt:lpstr>
      <vt:lpstr>'2. หน้างบรายจ่าย'!Print_Area</vt:lpstr>
      <vt:lpstr>'4.แบบฟอร์มรายงานเงินคงเหลือ Php'!Print_Area</vt:lpstr>
      <vt:lpstr>'4.แบบฟอร์มรายงานเงินคงเหลือUSD'!Print_Area</vt:lpstr>
      <vt:lpstr>'5. ทะเบียนคุมโครงการ'!Print_Area</vt:lpstr>
      <vt:lpstr>'7.ทะเบียนคุมครุภัณฑ์'!Print_Area</vt:lpstr>
      <vt:lpstr>'1. ทะเบียนคุมรับ-จ่าย'!Print_Titles</vt:lpstr>
      <vt:lpstr>'2. หน้างบรายจ่าย'!Print_Titles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Deputy Ttcmnl</cp:lastModifiedBy>
  <cp:lastPrinted>2026-03-06T02:29:42Z</cp:lastPrinted>
  <dcterms:created xsi:type="dcterms:W3CDTF">2016-06-07T09:54:00Z</dcterms:created>
  <dcterms:modified xsi:type="dcterms:W3CDTF">2026-03-06T02:31:14Z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1054-10.8.2.6597</vt:lpwstr>
  </property>
</Properties>
</file>